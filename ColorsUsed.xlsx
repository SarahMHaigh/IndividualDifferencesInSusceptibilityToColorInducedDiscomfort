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hhaigh/Library/Mobile Documents/com~apple~CloudDocs/Desktop/ToUploadToOneDriveFromMacBookPro/SchizotypyColour/"/>
    </mc:Choice>
  </mc:AlternateContent>
  <xr:revisionPtr revIDLastSave="0" documentId="13_ncr:1_{078FA980-FAF0-554B-B1F4-0EA981FFE254}" xr6:coauthVersionLast="47" xr6:coauthVersionMax="47" xr10:uidLastSave="{00000000-0000-0000-0000-000000000000}"/>
  <bookViews>
    <workbookView xWindow="31820" yWindow="-1940" windowWidth="28660" windowHeight="19760" xr2:uid="{8696ADAC-43A2-3F4B-893D-380033DC6223}"/>
  </bookViews>
  <sheets>
    <sheet name="CIE_UCScolors" sheetId="1" r:id="rId1"/>
    <sheet name="CIEgraphs" sheetId="2" r:id="rId2"/>
    <sheet name="CIE_UCScolorDiff" sheetId="3" r:id="rId3"/>
    <sheet name="MacLeodBoyntonConvers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4" l="1"/>
  <c r="D9" i="4"/>
  <c r="G9" i="4" s="1"/>
  <c r="E8" i="4"/>
  <c r="D8" i="4"/>
  <c r="F8" i="4" s="1"/>
  <c r="E7" i="4"/>
  <c r="D7" i="4"/>
  <c r="E6" i="4"/>
  <c r="D6" i="4"/>
  <c r="G6" i="4" s="1"/>
  <c r="E5" i="4"/>
  <c r="D5" i="4"/>
  <c r="E4" i="4"/>
  <c r="D4" i="4"/>
  <c r="F4" i="4" s="1"/>
  <c r="E23" i="4"/>
  <c r="D23" i="4"/>
  <c r="E22" i="4"/>
  <c r="D22" i="4"/>
  <c r="G22" i="4" s="1"/>
  <c r="E21" i="4"/>
  <c r="D21" i="4"/>
  <c r="E20" i="4"/>
  <c r="D20" i="4"/>
  <c r="E19" i="4"/>
  <c r="D19" i="4"/>
  <c r="E18" i="4"/>
  <c r="D18" i="4"/>
  <c r="G18" i="4" s="1"/>
  <c r="E16" i="4"/>
  <c r="D16" i="4"/>
  <c r="E15" i="4"/>
  <c r="D15" i="4"/>
  <c r="E14" i="4"/>
  <c r="D14" i="4"/>
  <c r="E13" i="4"/>
  <c r="D13" i="4"/>
  <c r="G13" i="4" s="1"/>
  <c r="E12" i="4"/>
  <c r="D12" i="4"/>
  <c r="E11" i="4"/>
  <c r="D11" i="4"/>
  <c r="E2" i="4"/>
  <c r="D2" i="4"/>
  <c r="B49" i="3"/>
  <c r="B52" i="3"/>
  <c r="B55" i="3"/>
  <c r="D9" i="1"/>
  <c r="D10" i="1"/>
  <c r="D11" i="1"/>
  <c r="D12" i="1"/>
  <c r="D13" i="1"/>
  <c r="D14" i="1"/>
  <c r="D15" i="1"/>
  <c r="D16" i="1"/>
  <c r="D17" i="1"/>
  <c r="D18" i="1"/>
  <c r="D19" i="1"/>
  <c r="D20" i="1"/>
  <c r="D3" i="1"/>
  <c r="D4" i="1"/>
  <c r="D5" i="1"/>
  <c r="D6" i="1"/>
  <c r="D7" i="1"/>
  <c r="D8" i="1"/>
  <c r="G21" i="4" l="1"/>
  <c r="F7" i="4"/>
  <c r="G4" i="4"/>
  <c r="I4" i="4" s="1"/>
  <c r="G5" i="4"/>
  <c r="G7" i="4"/>
  <c r="G8" i="4"/>
  <c r="I8" i="4" s="1"/>
  <c r="I7" i="4"/>
  <c r="H7" i="4"/>
  <c r="F21" i="4"/>
  <c r="I21" i="4" s="1"/>
  <c r="G2" i="4"/>
  <c r="F6" i="4"/>
  <c r="G11" i="4"/>
  <c r="G12" i="4"/>
  <c r="F19" i="4"/>
  <c r="F5" i="4"/>
  <c r="F9" i="4"/>
  <c r="F20" i="4"/>
  <c r="G14" i="4"/>
  <c r="F18" i="4"/>
  <c r="I18" i="4" s="1"/>
  <c r="G23" i="4"/>
  <c r="F13" i="4"/>
  <c r="H13" i="4" s="1"/>
  <c r="G19" i="4"/>
  <c r="G20" i="4"/>
  <c r="F15" i="4"/>
  <c r="F2" i="4"/>
  <c r="G15" i="4"/>
  <c r="G16" i="4"/>
  <c r="F11" i="4"/>
  <c r="F14" i="4"/>
  <c r="F23" i="4"/>
  <c r="F22" i="4"/>
  <c r="F12" i="4"/>
  <c r="F16" i="4"/>
  <c r="E15" i="1"/>
  <c r="E3" i="1"/>
  <c r="E9" i="1"/>
  <c r="H8" i="4" l="1"/>
  <c r="M7" i="4"/>
  <c r="H20" i="4"/>
  <c r="I2" i="4"/>
  <c r="H4" i="4"/>
  <c r="H2" i="4"/>
  <c r="H21" i="4"/>
  <c r="I20" i="4"/>
  <c r="L20" i="4" s="1"/>
  <c r="I13" i="4"/>
  <c r="H18" i="4"/>
  <c r="H15" i="4"/>
  <c r="I9" i="4"/>
  <c r="H9" i="4"/>
  <c r="M8" i="4" s="1"/>
  <c r="I5" i="4"/>
  <c r="H5" i="4"/>
  <c r="I6" i="4"/>
  <c r="H6" i="4"/>
  <c r="I19" i="4"/>
  <c r="I15" i="4"/>
  <c r="H19" i="4"/>
  <c r="I12" i="4"/>
  <c r="H12" i="4"/>
  <c r="J20" i="4"/>
  <c r="I11" i="4"/>
  <c r="H11" i="4"/>
  <c r="I16" i="4"/>
  <c r="H16" i="4"/>
  <c r="I23" i="4"/>
  <c r="H23" i="4"/>
  <c r="I22" i="4"/>
  <c r="H22" i="4"/>
  <c r="I14" i="4"/>
  <c r="H14" i="4"/>
  <c r="L7" i="4" l="1"/>
  <c r="L8" i="4"/>
  <c r="L6" i="4"/>
  <c r="K8" i="4"/>
  <c r="K7" i="4"/>
  <c r="K6" i="4"/>
  <c r="K5" i="4"/>
  <c r="J6" i="4"/>
  <c r="J7" i="4"/>
  <c r="J4" i="4"/>
  <c r="J8" i="4"/>
  <c r="J5" i="4"/>
  <c r="N8" i="4"/>
  <c r="K19" i="4"/>
  <c r="J19" i="4"/>
  <c r="L14" i="4"/>
  <c r="K20" i="4"/>
  <c r="J18" i="4"/>
  <c r="M22" i="4"/>
  <c r="N22" i="4"/>
  <c r="N15" i="4"/>
  <c r="J22" i="4"/>
  <c r="K22" i="4"/>
  <c r="L22" i="4"/>
  <c r="L15" i="4"/>
  <c r="K13" i="4"/>
  <c r="K14" i="4"/>
  <c r="K15" i="4"/>
  <c r="K12" i="4"/>
  <c r="M14" i="4"/>
  <c r="M15" i="4"/>
  <c r="J21" i="4"/>
  <c r="J13" i="4"/>
  <c r="J14" i="4"/>
  <c r="J11" i="4"/>
  <c r="J15" i="4"/>
  <c r="J12" i="4"/>
  <c r="K21" i="4"/>
  <c r="L13" i="4"/>
  <c r="M21" i="4"/>
  <c r="L21" i="4"/>
</calcChain>
</file>

<file path=xl/sharedStrings.xml><?xml version="1.0" encoding="utf-8"?>
<sst xmlns="http://schemas.openxmlformats.org/spreadsheetml/2006/main" count="134" uniqueCount="24">
  <si>
    <t>Image #</t>
  </si>
  <si>
    <t>Chrom_Sep</t>
  </si>
  <si>
    <t>category</t>
  </si>
  <si>
    <t>Large</t>
  </si>
  <si>
    <t>Medium</t>
  </si>
  <si>
    <t>ColorDiff</t>
  </si>
  <si>
    <t>v'</t>
  </si>
  <si>
    <t>u'</t>
  </si>
  <si>
    <t>Average Small</t>
  </si>
  <si>
    <t>Average Med</t>
  </si>
  <si>
    <t>Average LG</t>
  </si>
  <si>
    <t>ColorDiffFromGrey</t>
  </si>
  <si>
    <t>Grey</t>
  </si>
  <si>
    <t>Mid</t>
  </si>
  <si>
    <t>Small</t>
  </si>
  <si>
    <t>CIEu'</t>
  </si>
  <si>
    <t>CIE x</t>
  </si>
  <si>
    <t>CIE y</t>
  </si>
  <si>
    <t>judd x</t>
  </si>
  <si>
    <t>judd y</t>
  </si>
  <si>
    <t>MacB x</t>
  </si>
  <si>
    <t>MacB y</t>
  </si>
  <si>
    <t>Image#</t>
  </si>
  <si>
    <t>ImageCategory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</si>
</sst>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name val="Geneva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171-544D-90A1-065A484FA7AB}"/>
              </c:ext>
            </c:extLst>
          </c:dPt>
          <c:xVal>
            <c:numRef>
              <c:f>(CIE_UCScolors!$B$17,CIE_UCScolors!$B$20)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(CIE_UCScolors!$C$17,CIE_UCScolors!$C$20)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B1-D348-A94E-103CE2429B1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(CIE_UCScolors!$B$16,CIE_UCScolors!$B$17)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0.16000000000000006</c:v>
                </c:pt>
              </c:numCache>
            </c:numRef>
          </c:xVal>
          <c:yVal>
            <c:numRef>
              <c:f>(CIE_UCScolors!$C$16,CIE_UCScolors!$C$17)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B1-D348-A94E-103CE2429B1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(CIE_UCScolors!$B$15,CIE_UCScolors!$B$18)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(CIE_UCScolors!$C$15,CIE_UCScolors!$C$18)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B1-D348-A94E-103CE2429B1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(CIE_UCScolors!$B$19,CIE_UCScolors!$B$18)</c:f>
              <c:numCache>
                <c:formatCode>General</c:formatCode>
                <c:ptCount val="2"/>
                <c:pt idx="0">
                  <c:v>0.30000000000000016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(CIE_UCScolors!$C$19,CIE_UCScolors!$C$18)</c:f>
              <c:numCache>
                <c:formatCode>General</c:formatCode>
                <c:ptCount val="2"/>
                <c:pt idx="0">
                  <c:v>0.39999999999999997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B1-D348-A94E-103CE2429B1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(CIE_UCScolors!$B$19,CIE_UCScolors!$B$20)</c:f>
              <c:numCache>
                <c:formatCode>General</c:formatCode>
                <c:ptCount val="2"/>
                <c:pt idx="0">
                  <c:v>0.30000000000000016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(CIE_UCScolors!$C$19,CIE_UCScolors!$C$20)</c:f>
              <c:numCache>
                <c:formatCode>General</c:formatCode>
                <c:ptCount val="2"/>
                <c:pt idx="0">
                  <c:v>0.39999999999999997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B1-D348-A94E-103CE2429B1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(CIE_UCScolors!$B$15,CIE_UCScolors!$B$16)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0.20000000000000023</c:v>
                </c:pt>
              </c:numCache>
            </c:numRef>
          </c:xVal>
          <c:yVal>
            <c:numRef>
              <c:f>(CIE_UCScolors!$C$15,CIE_UCScolors!$C$16)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B1-D348-A94E-103CE2429B1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(CIE_UCScolors!$B$16,CIE_UCScolors!$B$20)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(CIE_UCScolors!$C$16,CIE_UCScolors!$C$20)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B1-D348-A94E-103CE2429B1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(CIE_UCScolors!$B$15,CIE_UCScolors!$B$19)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(CIE_UCScolors!$C$15,CIE_UCScolors!$C$19)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4B1-D348-A94E-103CE2429B10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(CIE_UCScolors!$B$18,CIE_UCScolors!$B$20)</c:f>
              <c:numCache>
                <c:formatCode>General</c:formatCode>
                <c:ptCount val="2"/>
                <c:pt idx="0">
                  <c:v>0.34000000000000019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(CIE_UCScolors!$C$18,CIE_UCScolors!$C$20)</c:f>
              <c:numCache>
                <c:formatCode>General</c:formatCode>
                <c:ptCount val="2"/>
                <c:pt idx="0">
                  <c:v>0.47400000000000003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4B1-D348-A94E-103CE2429B10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(CIE_UCScolors!$B$17,CIE_UCScolors!$B$19)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(CIE_UCScolors!$C$17,CIE_UCScolors!$C$19)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4B1-D348-A94E-103CE2429B10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(CIE_UCScolors!$B$16,CIE_UCScolors!$B$18)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(CIE_UCScolors!$C$16,CIE_UCScolors!$C$18)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4B1-D348-A94E-103CE2429B10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(CIE_UCScolors!$B$15,CIE_UCScolors!$B$17)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0.16000000000000006</c:v>
                </c:pt>
              </c:numCache>
            </c:numRef>
          </c:xVal>
          <c:yVal>
            <c:numRef>
              <c:f>(CIE_UCScolors!$C$15,CIE_UCScolors!$C$17)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4B1-D348-A94E-103CE2429B10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(CIE_UCScolors!$B$17,CIE_UCScolors!$B$18)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(CIE_UCScolors!$C$17,CIE_UCScolors!$C$18)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4B1-D348-A94E-103CE2429B10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(CIE_UCScolors!$B$16,CIE_UCScolors!$B$19)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(CIE_UCScolors!$C$16,CIE_UCScolors!$C$19)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4B1-D348-A94E-103CE2429B10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(CIE_UCScolors!$B$15,CIE_UCScolors!$B$20)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(CIE_UCScolors!$C$15,CIE_UCScolors!$C$20)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4B1-D348-A94E-103CE2429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(CIE_UCScolors!$B$12,CIE_UCScolors!$B$14)</c:f>
              <c:numCache>
                <c:formatCode>General</c:formatCode>
                <c:ptCount val="2"/>
                <c:pt idx="0">
                  <c:v>0.3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(CIE_UCScolors!$C$12,CIE_UCScolors!$C$14)</c:f>
              <c:numCache>
                <c:formatCode>General</c:formatCode>
                <c:ptCount val="2"/>
                <c:pt idx="0">
                  <c:v>0.5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D-8547-856F-86AECD16E2F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(CIE_UCScolors!$B$11,CIE_UCScolors!$B$10)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0.24999999999999994</c:v>
                </c:pt>
              </c:numCache>
            </c:numRef>
          </c:xVal>
          <c:yVal>
            <c:numRef>
              <c:f>(CIE_UCScolors!$C$11,CIE_UCScolors!$C$10)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D-8547-856F-86AECD16E2F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(CIE_UCScolors!$B$11,CIE_UCScolors!$B$14)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(CIE_UCScolors!$C$11,CIE_UCScolors!$C$14)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8D-8547-856F-86AECD16E2F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(CIE_UCScolors!$B$9,CIE_UCScolors!$B$11)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0.19999999999999998</c:v>
                </c:pt>
              </c:numCache>
            </c:numRef>
          </c:xVal>
          <c:yVal>
            <c:numRef>
              <c:f>(CIE_UCScolors!$C$9,CIE_UCScolors!$C$11)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8D-8547-856F-86AECD16E2F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(CIE_UCScolors!$B$11,CIE_UCScolors!$B$13)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(CIE_UCScolors!$C$11,CIE_UCScolors!$C$13)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8D-8547-856F-86AECD16E2F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(CIE_UCScolors!$B$11,CIE_UCScolors!$B$12)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0.3</c:v>
                </c:pt>
              </c:numCache>
            </c:numRef>
          </c:xVal>
          <c:yVal>
            <c:numRef>
              <c:f>(CIE_UCScolors!$C$11,CIE_UCScolors!$C$12)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8D-8547-856F-86AECD16E2F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(CIE_UCScolors!$B$9,CIE_UCScolors!$B$13)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(CIE_UCScolors!$C$9,CIE_UCScolors!$C$13)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8D-8547-856F-86AECD16E2F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(CIE_UCScolors!$B$9,CIE_UCScolors!$B$12)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0.3</c:v>
                </c:pt>
              </c:numCache>
            </c:numRef>
          </c:xVal>
          <c:yVal>
            <c:numRef>
              <c:f>(CIE_UCScolors!$C$9,CIE_UCScolors!$C$12)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8D-8547-856F-86AECD16E2F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(CIE_UCScolors!$B$10,CIE_UCScolors!$B$14)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(CIE_UCScolors!$C$10,CIE_UCScolors!$C$14)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8D-8547-856F-86AECD16E2F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(CIE_UCScolors!$B$9,CIE_UCScolors!$B$14)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(CIE_UCScolors!$C$9,CIE_UCScolors!$C$14)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98D-8547-856F-86AECD16E2F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(CIE_UCScolors!$B$10,CIE_UCScolors!$B$13)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(CIE_UCScolors!$C$10,CIE_UCScolors!$C$13)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98D-8547-856F-86AECD16E2F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(CIE_UCScolors!$B$10,CIE_UCScolors!$B$12)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0.3</c:v>
                </c:pt>
              </c:numCache>
            </c:numRef>
          </c:xVal>
          <c:yVal>
            <c:numRef>
              <c:f>(CIE_UCScolors!$C$10,CIE_UCScolors!$C$12)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98D-8547-856F-86AECD16E2F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(CIE_UCScolors!$B$12,CIE_UCScolors!$B$13)</c:f>
              <c:numCache>
                <c:formatCode>General</c:formatCode>
                <c:ptCount val="2"/>
                <c:pt idx="0">
                  <c:v>0.3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(CIE_UCScolors!$C$12,CIE_UCScolors!$C$13)</c:f>
              <c:numCache>
                <c:formatCode>General</c:formatCode>
                <c:ptCount val="2"/>
                <c:pt idx="0">
                  <c:v>0.5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98D-8547-856F-86AECD16E2F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(CIE_UCScolors!$B$9,CIE_UCScolors!$B$10)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0.24999999999999994</c:v>
                </c:pt>
              </c:numCache>
            </c:numRef>
          </c:xVal>
          <c:yVal>
            <c:numRef>
              <c:f>(CIE_UCScolors!$C$9,CIE_UCScolors!$C$10)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98D-8547-856F-86AECD16E2F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(CIE_UCScolors!$B$13,CIE_UCScolors!$B$14)</c:f>
              <c:numCache>
                <c:formatCode>General</c:formatCode>
                <c:ptCount val="2"/>
                <c:pt idx="0">
                  <c:v>0.1999999999999999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(CIE_UCScolors!$C$13,CIE_UCScolors!$C$14)</c:f>
              <c:numCache>
                <c:formatCode>General</c:formatCode>
                <c:ptCount val="2"/>
                <c:pt idx="0">
                  <c:v>0.49999999999999989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98D-8547-856F-86AECD16E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(CIE_UCScolors!$B$4,CIE_UCScolors!$B$5)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0.22800000000000017</c:v>
                </c:pt>
              </c:numCache>
            </c:numRef>
          </c:xVal>
          <c:yVal>
            <c:numRef>
              <c:f>(CIE_UCScolors!$C$4,CIE_UCScolors!$C$5)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9-AB4F-B437-1B8A60A98BC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(CIE_UCScolors!$B$5,CIE_UCScolors!$B$7)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(CIE_UCScolors!$C$5,CIE_UCScolors!$C$7)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CE9-AB4F-B437-1B8A60A98BC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(CIE_UCScolors!$B$6,CIE_UCScolors!$B$8)</c:f>
              <c:numCache>
                <c:formatCode>General</c:formatCode>
                <c:ptCount val="2"/>
                <c:pt idx="0">
                  <c:v>0.27500000000000024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(CIE_UCScolors!$C$6,CIE_UCScolors!$C$8)</c:f>
              <c:numCache>
                <c:formatCode>General</c:formatCode>
                <c:ptCount val="2"/>
                <c:pt idx="0">
                  <c:v>0.4850000000000001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CE9-AB4F-B437-1B8A60A98BC6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(CIE_UCScolors!$B$4,CIE_UCScolors!$B$8)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(CIE_UCScolors!$C$4,CIE_UCScolors!$C$8)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CE9-AB4F-B437-1B8A60A98BC6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(CIE_UCScolors!$B$3,CIE_UCScolors!$B$7)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(CIE_UCScolors!$C$3,CIE_UCScolors!$C$7)</c:f>
              <c:numCache>
                <c:formatCode>General</c:formatCode>
                <c:ptCount val="2"/>
                <c:pt idx="0">
                  <c:v>0.5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CE9-AB4F-B437-1B8A60A98BC6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(CIE_UCScolors!$B$3,CIE_UCScolors!$B$6)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(CIE_UCScolors!$C$3,CIE_UCScolors!$C$6)</c:f>
              <c:numCache>
                <c:formatCode>General</c:formatCode>
                <c:ptCount val="2"/>
                <c:pt idx="0">
                  <c:v>0.5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CE9-AB4F-B437-1B8A60A98BC6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(CIE_UCScolors!$B$4,CIE_UCScolors!$B$7)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(CIE_UCScolors!$C$4,CIE_UCScolors!$C$7)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CE9-AB4F-B437-1B8A60A98BC6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(CIE_UCScolors!$B$4,CIE_UCScolors!$B$6)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(CIE_UCScolors!$C$4,CIE_UCScolors!$C$6)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CE9-AB4F-B437-1B8A60A98BC6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(CIE_UCScolors!$B$5,CIE_UCScolors!$B$8)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(CIE_UCScolors!$C$5,CIE_UCScolors!$C$8)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CE9-AB4F-B437-1B8A60A98BC6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(CIE_UCScolors!$B$3,CIE_UCScolors!$B$5)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0.22800000000000017</c:v>
                </c:pt>
              </c:numCache>
            </c:numRef>
          </c:xVal>
          <c:yVal>
            <c:numRef>
              <c:f>(CIE_UCScolors!$C$3,CIE_UCScolors!$C$5)</c:f>
              <c:numCache>
                <c:formatCode>General</c:formatCode>
                <c:ptCount val="2"/>
                <c:pt idx="0">
                  <c:v>0.5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CE9-AB4F-B437-1B8A60A98BC6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(CIE_UCScolors!$B$3,CIE_UCScolors!$B$4)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0.24999999999999992</c:v>
                </c:pt>
              </c:numCache>
            </c:numRef>
          </c:xVal>
          <c:yVal>
            <c:numRef>
              <c:f>(CIE_UCScolors!$C$3,CIE_UCScolors!$C$4)</c:f>
              <c:numCache>
                <c:formatCode>General</c:formatCode>
                <c:ptCount val="2"/>
                <c:pt idx="0">
                  <c:v>0.5</c:v>
                </c:pt>
                <c:pt idx="1">
                  <c:v>0.44900000000000001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CE9-AB4F-B437-1B8A60A98BC6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(CIE_UCScolors!$B$6,CIE_UCScolors!$B$7)</c:f>
              <c:numCache>
                <c:formatCode>General</c:formatCode>
                <c:ptCount val="2"/>
                <c:pt idx="0">
                  <c:v>0.27500000000000024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(CIE_UCScolors!$C$6,CIE_UCScolors!$C$7)</c:f>
              <c:numCache>
                <c:formatCode>General</c:formatCode>
                <c:ptCount val="2"/>
                <c:pt idx="0">
                  <c:v>0.4850000000000001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CE9-AB4F-B437-1B8A60A98BC6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(CIE_UCScolors!$B$3,CIE_UCScolors!$B$4)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0.24999999999999992</c:v>
                </c:pt>
              </c:numCache>
            </c:numRef>
          </c:xVal>
          <c:yVal>
            <c:numRef>
              <c:f>(CIE_UCScolors!$C$3,CIE_UCScolors!$C$4)</c:f>
              <c:numCache>
                <c:formatCode>General</c:formatCode>
                <c:ptCount val="2"/>
                <c:pt idx="0">
                  <c:v>0.5</c:v>
                </c:pt>
                <c:pt idx="1">
                  <c:v>0.44900000000000001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CE9-AB4F-B437-1B8A60A98BC6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(CIE_UCScolors!$B$7,CIE_UCScolors!$B$8)</c:f>
              <c:numCache>
                <c:formatCode>General</c:formatCode>
                <c:ptCount val="2"/>
                <c:pt idx="0">
                  <c:v>0.22800000000000009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(CIE_UCScolors!$C$7,CIE_UCScolors!$C$8)</c:f>
              <c:numCache>
                <c:formatCode>General</c:formatCode>
                <c:ptCount val="2"/>
                <c:pt idx="0">
                  <c:v>0.48500000000000004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CE9-AB4F-B437-1B8A60A98BC6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(CIE_UCScolors!$B$5,CIE_UCScolors!$B$6)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(CIE_UCScolors!$C$5,CIE_UCScolors!$C$6)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CE9-AB4F-B437-1B8A60A98BC6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(CIE_UCScolors!$B$3,CIE_UCScolors!$B$8)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(CIE_UCScolors!$C$3,CIE_UCScolors!$C$8)</c:f>
              <c:numCache>
                <c:formatCode>General</c:formatCode>
                <c:ptCount val="2"/>
                <c:pt idx="0">
                  <c:v>0.5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E-824A-B890-3346D0A0A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CEC-9341-88B5-5453D846ECBF}"/>
              </c:ext>
            </c:extLst>
          </c:dPt>
          <c:xVal>
            <c:numRef>
              <c:f>(CIE_UCScolors!$B$17,CIE_UCScolors!$B$20)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(CIE_UCScolors!$C$17,CIE_UCScolors!$C$20)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C-9341-88B5-5453D846ECBF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(CIE_UCScolors!$B$16,CIE_UCScolors!$B$17)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0.16000000000000006</c:v>
                </c:pt>
              </c:numCache>
            </c:numRef>
          </c:xVal>
          <c:yVal>
            <c:numRef>
              <c:f>(CIE_UCScolors!$C$16,CIE_UCScolors!$C$17)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C-9341-88B5-5453D846ECBF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(CIE_UCScolors!$B$15,CIE_UCScolors!$B$18)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(CIE_UCScolors!$C$15,CIE_UCScolors!$C$18)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EC-9341-88B5-5453D846ECBF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(CIE_UCScolors!$B$19,CIE_UCScolors!$B$18)</c:f>
              <c:numCache>
                <c:formatCode>General</c:formatCode>
                <c:ptCount val="2"/>
                <c:pt idx="0">
                  <c:v>0.30000000000000016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(CIE_UCScolors!$C$19,CIE_UCScolors!$C$18)</c:f>
              <c:numCache>
                <c:formatCode>General</c:formatCode>
                <c:ptCount val="2"/>
                <c:pt idx="0">
                  <c:v>0.39999999999999997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EC-9341-88B5-5453D846ECBF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(CIE_UCScolors!$B$19,CIE_UCScolors!$B$20)</c:f>
              <c:numCache>
                <c:formatCode>General</c:formatCode>
                <c:ptCount val="2"/>
                <c:pt idx="0">
                  <c:v>0.30000000000000016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(CIE_UCScolors!$C$19,CIE_UCScolors!$C$20)</c:f>
              <c:numCache>
                <c:formatCode>General</c:formatCode>
                <c:ptCount val="2"/>
                <c:pt idx="0">
                  <c:v>0.39999999999999997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EC-9341-88B5-5453D846ECBF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(CIE_UCScolors!$B$15,CIE_UCScolors!$B$16)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0.20000000000000023</c:v>
                </c:pt>
              </c:numCache>
            </c:numRef>
          </c:xVal>
          <c:yVal>
            <c:numRef>
              <c:f>(CIE_UCScolors!$C$15,CIE_UCScolors!$C$16)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EC-9341-88B5-5453D846ECBF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(CIE_UCScolors!$B$16,CIE_UCScolors!$B$20)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(CIE_UCScolors!$C$16,CIE_UCScolors!$C$20)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EC-9341-88B5-5453D846ECBF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(CIE_UCScolors!$B$15,CIE_UCScolors!$B$19)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(CIE_UCScolors!$C$15,CIE_UCScolors!$C$19)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EC-9341-88B5-5453D846ECBF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(CIE_UCScolors!$B$18,CIE_UCScolors!$B$20)</c:f>
              <c:numCache>
                <c:formatCode>General</c:formatCode>
                <c:ptCount val="2"/>
                <c:pt idx="0">
                  <c:v>0.34000000000000019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(CIE_UCScolors!$C$18,CIE_UCScolors!$C$20)</c:f>
              <c:numCache>
                <c:formatCode>General</c:formatCode>
                <c:ptCount val="2"/>
                <c:pt idx="0">
                  <c:v>0.47400000000000003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CEC-9341-88B5-5453D846ECBF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(CIE_UCScolors!$B$17,CIE_UCScolors!$B$19)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(CIE_UCScolors!$C$17,CIE_UCScolors!$C$19)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CEC-9341-88B5-5453D846ECBF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(CIE_UCScolors!$B$16,CIE_UCScolors!$B$18)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(CIE_UCScolors!$C$16,CIE_UCScolors!$C$18)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CEC-9341-88B5-5453D846ECBF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(CIE_UCScolors!$B$15,CIE_UCScolors!$B$17)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0.16000000000000006</c:v>
                </c:pt>
              </c:numCache>
            </c:numRef>
          </c:xVal>
          <c:yVal>
            <c:numRef>
              <c:f>(CIE_UCScolors!$C$15,CIE_UCScolors!$C$17)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CEC-9341-88B5-5453D846ECBF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(CIE_UCScolors!$B$17,CIE_UCScolors!$B$18)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(CIE_UCScolors!$C$17,CIE_UCScolors!$C$18)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CEC-9341-88B5-5453D846ECBF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(CIE_UCScolors!$B$16,CIE_UCScolors!$B$19)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(CIE_UCScolors!$C$16,CIE_UCScolors!$C$19)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CEC-9341-88B5-5453D846ECBF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(CIE_UCScolors!$B$15,CIE_UCScolors!$B$20)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(CIE_UCScolors!$C$15,CIE_UCScolors!$C$20)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CEC-9341-88B5-5453D846E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u'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v'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(CIE_UCScolors!$B$12,CIE_UCScolors!$B$14)</c:f>
              <c:numCache>
                <c:formatCode>General</c:formatCode>
                <c:ptCount val="2"/>
                <c:pt idx="0">
                  <c:v>0.3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(CIE_UCScolors!$C$12,CIE_UCScolors!$C$14)</c:f>
              <c:numCache>
                <c:formatCode>General</c:formatCode>
                <c:ptCount val="2"/>
                <c:pt idx="0">
                  <c:v>0.5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2-7244-87D6-CC7800304EA6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(CIE_UCScolors!$B$11,CIE_UCScolors!$B$10)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0.24999999999999994</c:v>
                </c:pt>
              </c:numCache>
            </c:numRef>
          </c:xVal>
          <c:yVal>
            <c:numRef>
              <c:f>(CIE_UCScolors!$C$11,CIE_UCScolors!$C$10)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2-7244-87D6-CC7800304EA6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(CIE_UCScolors!$B$11,CIE_UCScolors!$B$14)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(CIE_UCScolors!$C$11,CIE_UCScolors!$C$14)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2-7244-87D6-CC7800304EA6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(CIE_UCScolors!$B$9,CIE_UCScolors!$B$11)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0.19999999999999998</c:v>
                </c:pt>
              </c:numCache>
            </c:numRef>
          </c:xVal>
          <c:yVal>
            <c:numRef>
              <c:f>(CIE_UCScolors!$C$9,CIE_UCScolors!$C$11)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A2-7244-87D6-CC7800304EA6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(CIE_UCScolors!$B$11,CIE_UCScolors!$B$13)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(CIE_UCScolors!$C$11,CIE_UCScolors!$C$13)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A2-7244-87D6-CC7800304EA6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(CIE_UCScolors!$B$11,CIE_UCScolors!$B$12)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0.3</c:v>
                </c:pt>
              </c:numCache>
            </c:numRef>
          </c:xVal>
          <c:yVal>
            <c:numRef>
              <c:f>(CIE_UCScolors!$C$11,CIE_UCScolors!$C$12)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A2-7244-87D6-CC7800304EA6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(CIE_UCScolors!$B$9,CIE_UCScolors!$B$13)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(CIE_UCScolors!$C$9,CIE_UCScolors!$C$13)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A2-7244-87D6-CC7800304EA6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(CIE_UCScolors!$B$9,CIE_UCScolors!$B$12)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0.3</c:v>
                </c:pt>
              </c:numCache>
            </c:numRef>
          </c:xVal>
          <c:yVal>
            <c:numRef>
              <c:f>(CIE_UCScolors!$C$9,CIE_UCScolors!$C$12)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A2-7244-87D6-CC7800304EA6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(CIE_UCScolors!$B$10,CIE_UCScolors!$B$14)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(CIE_UCScolors!$C$10,CIE_UCScolors!$C$14)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A2-7244-87D6-CC7800304EA6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(CIE_UCScolors!$B$9,CIE_UCScolors!$B$14)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(CIE_UCScolors!$C$9,CIE_UCScolors!$C$14)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A2-7244-87D6-CC7800304EA6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(CIE_UCScolors!$B$10,CIE_UCScolors!$B$13)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(CIE_UCScolors!$C$10,CIE_UCScolors!$C$13)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3A2-7244-87D6-CC7800304EA6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(CIE_UCScolors!$B$10,CIE_UCScolors!$B$12)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0.3</c:v>
                </c:pt>
              </c:numCache>
            </c:numRef>
          </c:xVal>
          <c:yVal>
            <c:numRef>
              <c:f>(CIE_UCScolors!$C$10,CIE_UCScolors!$C$12)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3A2-7244-87D6-CC7800304EA6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(CIE_UCScolors!$B$12,CIE_UCScolors!$B$13)</c:f>
              <c:numCache>
                <c:formatCode>General</c:formatCode>
                <c:ptCount val="2"/>
                <c:pt idx="0">
                  <c:v>0.3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(CIE_UCScolors!$C$12,CIE_UCScolors!$C$13)</c:f>
              <c:numCache>
                <c:formatCode>General</c:formatCode>
                <c:ptCount val="2"/>
                <c:pt idx="0">
                  <c:v>0.5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A2-7244-87D6-CC7800304EA6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(CIE_UCScolors!$B$9,CIE_UCScolors!$B$10)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0.24999999999999994</c:v>
                </c:pt>
              </c:numCache>
            </c:numRef>
          </c:xVal>
          <c:yVal>
            <c:numRef>
              <c:f>(CIE_UCScolors!$C$9,CIE_UCScolors!$C$10)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3A2-7244-87D6-CC7800304EA6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(CIE_UCScolors!$B$13,CIE_UCScolors!$B$14)</c:f>
              <c:numCache>
                <c:formatCode>General</c:formatCode>
                <c:ptCount val="2"/>
                <c:pt idx="0">
                  <c:v>0.1999999999999999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(CIE_UCScolors!$C$13,CIE_UCScolors!$C$14)</c:f>
              <c:numCache>
                <c:formatCode>General</c:formatCode>
                <c:ptCount val="2"/>
                <c:pt idx="0">
                  <c:v>0.49999999999999989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3A2-7244-87D6-CC7800304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u'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v'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(CIE_UCScolors!$B$4,CIE_UCScolors!$B$5)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0.22800000000000017</c:v>
                </c:pt>
              </c:numCache>
            </c:numRef>
          </c:xVal>
          <c:yVal>
            <c:numRef>
              <c:f>(CIE_UCScolors!$C$4,CIE_UCScolors!$C$5)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5-6240-A7D9-095747DB8E19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(CIE_UCScolors!$B$5,CIE_UCScolors!$B$7)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(CIE_UCScolors!$C$5,CIE_UCScolors!$C$7)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5-6240-A7D9-095747DB8E19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(CIE_UCScolors!$B$6,CIE_UCScolors!$B$8)</c:f>
              <c:numCache>
                <c:formatCode>General</c:formatCode>
                <c:ptCount val="2"/>
                <c:pt idx="0">
                  <c:v>0.27500000000000024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(CIE_UCScolors!$C$6,CIE_UCScolors!$C$8)</c:f>
              <c:numCache>
                <c:formatCode>General</c:formatCode>
                <c:ptCount val="2"/>
                <c:pt idx="0">
                  <c:v>0.4850000000000001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45-6240-A7D9-095747DB8E19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(CIE_UCScolors!$B$4,CIE_UCScolors!$B$8)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(CIE_UCScolors!$C$4,CIE_UCScolors!$C$8)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45-6240-A7D9-095747DB8E19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(CIE_UCScolors!$B$3,CIE_UCScolors!$B$7)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(CIE_UCScolors!$C$3,CIE_UCScolors!$C$7)</c:f>
              <c:numCache>
                <c:formatCode>General</c:formatCode>
                <c:ptCount val="2"/>
                <c:pt idx="0">
                  <c:v>0.5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45-6240-A7D9-095747DB8E19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(CIE_UCScolors!$B$3,CIE_UCScolors!$B$6)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(CIE_UCScolors!$C$3,CIE_UCScolors!$C$6)</c:f>
              <c:numCache>
                <c:formatCode>General</c:formatCode>
                <c:ptCount val="2"/>
                <c:pt idx="0">
                  <c:v>0.5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45-6240-A7D9-095747DB8E19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(CIE_UCScolors!$B$4,CIE_UCScolors!$B$7)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(CIE_UCScolors!$C$4,CIE_UCScolors!$C$7)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45-6240-A7D9-095747DB8E19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(CIE_UCScolors!$B$4,CIE_UCScolors!$B$6)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(CIE_UCScolors!$C$4,CIE_UCScolors!$C$6)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45-6240-A7D9-095747DB8E19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(CIE_UCScolors!$B$5,CIE_UCScolors!$B$8)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(CIE_UCScolors!$C$5,CIE_UCScolors!$C$8)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45-6240-A7D9-095747DB8E19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(CIE_UCScolors!$B$3,CIE_UCScolors!$B$5)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0.22800000000000017</c:v>
                </c:pt>
              </c:numCache>
            </c:numRef>
          </c:xVal>
          <c:yVal>
            <c:numRef>
              <c:f>(CIE_UCScolors!$C$3,CIE_UCScolors!$C$5)</c:f>
              <c:numCache>
                <c:formatCode>General</c:formatCode>
                <c:ptCount val="2"/>
                <c:pt idx="0">
                  <c:v>0.5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D45-6240-A7D9-095747DB8E1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(CIE_UCScolors!$B$3,CIE_UCScolors!$B$4)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0.24999999999999992</c:v>
                </c:pt>
              </c:numCache>
            </c:numRef>
          </c:xVal>
          <c:yVal>
            <c:numRef>
              <c:f>(CIE_UCScolors!$C$3,CIE_UCScolors!$C$4)</c:f>
              <c:numCache>
                <c:formatCode>General</c:formatCode>
                <c:ptCount val="2"/>
                <c:pt idx="0">
                  <c:v>0.5</c:v>
                </c:pt>
                <c:pt idx="1">
                  <c:v>0.44900000000000001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D45-6240-A7D9-095747DB8E19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(CIE_UCScolors!$B$6,CIE_UCScolors!$B$7)</c:f>
              <c:numCache>
                <c:formatCode>General</c:formatCode>
                <c:ptCount val="2"/>
                <c:pt idx="0">
                  <c:v>0.27500000000000024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(CIE_UCScolors!$C$6,CIE_UCScolors!$C$7)</c:f>
              <c:numCache>
                <c:formatCode>General</c:formatCode>
                <c:ptCount val="2"/>
                <c:pt idx="0">
                  <c:v>0.4850000000000001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D45-6240-A7D9-095747DB8E19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(CIE_UCScolors!$B$3,CIE_UCScolors!$B$4)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0.24999999999999992</c:v>
                </c:pt>
              </c:numCache>
            </c:numRef>
          </c:xVal>
          <c:yVal>
            <c:numRef>
              <c:f>(CIE_UCScolors!$C$3,CIE_UCScolors!$C$4)</c:f>
              <c:numCache>
                <c:formatCode>General</c:formatCode>
                <c:ptCount val="2"/>
                <c:pt idx="0">
                  <c:v>0.5</c:v>
                </c:pt>
                <c:pt idx="1">
                  <c:v>0.44900000000000001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D45-6240-A7D9-095747DB8E19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(CIE_UCScolors!$B$7,CIE_UCScolors!$B$8)</c:f>
              <c:numCache>
                <c:formatCode>General</c:formatCode>
                <c:ptCount val="2"/>
                <c:pt idx="0">
                  <c:v>0.22800000000000009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(CIE_UCScolors!$C$7,CIE_UCScolors!$C$8)</c:f>
              <c:numCache>
                <c:formatCode>General</c:formatCode>
                <c:ptCount val="2"/>
                <c:pt idx="0">
                  <c:v>0.48500000000000004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D45-6240-A7D9-095747DB8E19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(CIE_UCScolors!$B$5,CIE_UCScolors!$B$6)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(CIE_UCScolors!$C$5,CIE_UCScolors!$C$6)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D45-6240-A7D9-095747DB8E19}"/>
            </c:ext>
          </c:extLst>
        </c:ser>
        <c:ser>
          <c:idx val="15"/>
          <c:order val="1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(CIE_UCScolors!$B$3,CIE_UCScolors!$B$8)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(CIE_UCScolors!$C$3,CIE_UCScolors!$C$8)</c:f>
              <c:numCache>
                <c:formatCode>General</c:formatCode>
                <c:ptCount val="2"/>
                <c:pt idx="0">
                  <c:v>0.5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7-EA4D-A25F-C61FAD54B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u'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v'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F92-114C-9BD1-919E379A1CDF}"/>
              </c:ext>
            </c:extLst>
          </c:dPt>
          <c:xVal>
            <c:numRef>
              <c:f>(CIE_UCScolors!$B$17,CIE_UCScolors!$B$20)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(CIE_UCScolors!$C$17,CIE_UCScolors!$C$20)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92-114C-9BD1-919E379A1CDF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(CIE_UCScolors!$B$16,CIE_UCScolors!$B$17)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0.16000000000000006</c:v>
                </c:pt>
              </c:numCache>
            </c:numRef>
          </c:xVal>
          <c:yVal>
            <c:numRef>
              <c:f>(CIE_UCScolors!$C$16,CIE_UCScolors!$C$17)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92-114C-9BD1-919E379A1CDF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(CIE_UCScolors!$B$15,CIE_UCScolors!$B$18)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(CIE_UCScolors!$C$15,CIE_UCScolors!$C$18)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92-114C-9BD1-919E379A1CDF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(CIE_UCScolors!$B$19,CIE_UCScolors!$B$18)</c:f>
              <c:numCache>
                <c:formatCode>General</c:formatCode>
                <c:ptCount val="2"/>
                <c:pt idx="0">
                  <c:v>0.30000000000000016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(CIE_UCScolors!$C$19,CIE_UCScolors!$C$18)</c:f>
              <c:numCache>
                <c:formatCode>General</c:formatCode>
                <c:ptCount val="2"/>
                <c:pt idx="0">
                  <c:v>0.39999999999999997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92-114C-9BD1-919E379A1CDF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(CIE_UCScolors!$B$19,CIE_UCScolors!$B$20)</c:f>
              <c:numCache>
                <c:formatCode>General</c:formatCode>
                <c:ptCount val="2"/>
                <c:pt idx="0">
                  <c:v>0.30000000000000016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(CIE_UCScolors!$C$19,CIE_UCScolors!$C$20)</c:f>
              <c:numCache>
                <c:formatCode>General</c:formatCode>
                <c:ptCount val="2"/>
                <c:pt idx="0">
                  <c:v>0.39999999999999997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92-114C-9BD1-919E379A1CDF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(CIE_UCScolors!$B$15,CIE_UCScolors!$B$16)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0.20000000000000023</c:v>
                </c:pt>
              </c:numCache>
            </c:numRef>
          </c:xVal>
          <c:yVal>
            <c:numRef>
              <c:f>(CIE_UCScolors!$C$15,CIE_UCScolors!$C$16)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92-114C-9BD1-919E379A1CDF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(CIE_UCScolors!$B$16,CIE_UCScolors!$B$20)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(CIE_UCScolors!$C$16,CIE_UCScolors!$C$20)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92-114C-9BD1-919E379A1CDF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(CIE_UCScolors!$B$15,CIE_UCScolors!$B$19)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(CIE_UCScolors!$C$15,CIE_UCScolors!$C$19)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F92-114C-9BD1-919E379A1CDF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(CIE_UCScolors!$B$18,CIE_UCScolors!$B$20)</c:f>
              <c:numCache>
                <c:formatCode>General</c:formatCode>
                <c:ptCount val="2"/>
                <c:pt idx="0">
                  <c:v>0.34000000000000019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(CIE_UCScolors!$C$18,CIE_UCScolors!$C$20)</c:f>
              <c:numCache>
                <c:formatCode>General</c:formatCode>
                <c:ptCount val="2"/>
                <c:pt idx="0">
                  <c:v>0.47400000000000003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F92-114C-9BD1-919E379A1CDF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(CIE_UCScolors!$B$17,CIE_UCScolors!$B$19)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(CIE_UCScolors!$C$17,CIE_UCScolors!$C$19)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F92-114C-9BD1-919E379A1CDF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(CIE_UCScolors!$B$16,CIE_UCScolors!$B$18)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(CIE_UCScolors!$C$16,CIE_UCScolors!$C$18)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F92-114C-9BD1-919E379A1CDF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(CIE_UCScolors!$B$15,CIE_UCScolors!$B$17)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0.16000000000000006</c:v>
                </c:pt>
              </c:numCache>
            </c:numRef>
          </c:xVal>
          <c:yVal>
            <c:numRef>
              <c:f>(CIE_UCScolors!$C$15,CIE_UCScolors!$C$17)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0.47400000000000009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F92-114C-9BD1-919E379A1CDF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(CIE_UCScolors!$B$17,CIE_UCScolors!$B$18)</c:f>
              <c:numCache>
                <c:formatCode>General</c:formatCode>
                <c:ptCount val="2"/>
                <c:pt idx="0">
                  <c:v>0.16000000000000006</c:v>
                </c:pt>
                <c:pt idx="1">
                  <c:v>0.34000000000000019</c:v>
                </c:pt>
              </c:numCache>
            </c:numRef>
          </c:xVal>
          <c:yVal>
            <c:numRef>
              <c:f>(CIE_UCScolors!$C$17,CIE_UCScolors!$C$18)</c:f>
              <c:numCache>
                <c:formatCode>General</c:formatCode>
                <c:ptCount val="2"/>
                <c:pt idx="0">
                  <c:v>0.47400000000000009</c:v>
                </c:pt>
                <c:pt idx="1">
                  <c:v>0.47400000000000003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F92-114C-9BD1-919E379A1CDF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(CIE_UCScolors!$B$16,CIE_UCScolors!$B$19)</c:f>
              <c:numCache>
                <c:formatCode>General</c:formatCode>
                <c:ptCount val="2"/>
                <c:pt idx="0">
                  <c:v>0.20000000000000023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(CIE_UCScolors!$C$16,CIE_UCScolors!$C$19)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F92-114C-9BD1-919E379A1CDF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(CIE_UCScolors!$B$15,CIE_UCScolors!$B$20)</c:f>
              <c:numCache>
                <c:formatCode>General</c:formatCode>
                <c:ptCount val="2"/>
                <c:pt idx="0">
                  <c:v>0.30000000000000004</c:v>
                </c:pt>
                <c:pt idx="1">
                  <c:v>0.19999999999999996</c:v>
                </c:pt>
              </c:numCache>
            </c:numRef>
          </c:xVal>
          <c:yVal>
            <c:numRef>
              <c:f>(CIE_UCScolors!$C$15,CIE_UCScolors!$C$20)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0.39999999999999958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F92-114C-9BD1-919E379A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u'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v'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 w="31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(CIE_UCScolors!$B$12,CIE_UCScolors!$B$14)</c:f>
              <c:numCache>
                <c:formatCode>General</c:formatCode>
                <c:ptCount val="2"/>
                <c:pt idx="0">
                  <c:v>0.3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(CIE_UCScolors!$C$12,CIE_UCScolors!$C$14)</c:f>
              <c:numCache>
                <c:formatCode>General</c:formatCode>
                <c:ptCount val="2"/>
                <c:pt idx="0">
                  <c:v>0.5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D-6B43-88F7-1A93E4FB6811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(CIE_UCScolors!$B$11,CIE_UCScolors!$B$10)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0.24999999999999994</c:v>
                </c:pt>
              </c:numCache>
            </c:numRef>
          </c:xVal>
          <c:yVal>
            <c:numRef>
              <c:f>(CIE_UCScolors!$C$11,CIE_UCScolors!$C$10)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CD-6B43-88F7-1A93E4FB6811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(CIE_UCScolors!$B$11,CIE_UCScolors!$B$14)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(CIE_UCScolors!$C$11,CIE_UCScolors!$C$14)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CD-6B43-88F7-1A93E4FB6811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(CIE_UCScolors!$B$9,CIE_UCScolors!$B$11)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0.19999999999999998</c:v>
                </c:pt>
              </c:numCache>
            </c:numRef>
          </c:xVal>
          <c:yVal>
            <c:numRef>
              <c:f>(CIE_UCScolors!$C$9,CIE_UCScolors!$C$11)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CD-6B43-88F7-1A93E4FB6811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(CIE_UCScolors!$B$11,CIE_UCScolors!$B$13)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(CIE_UCScolors!$C$11,CIE_UCScolors!$C$13)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CD-6B43-88F7-1A93E4FB6811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(CIE_UCScolors!$B$11,CIE_UCScolors!$B$12)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0.3</c:v>
                </c:pt>
              </c:numCache>
            </c:numRef>
          </c:xVal>
          <c:yVal>
            <c:numRef>
              <c:f>(CIE_UCScolors!$C$11,CIE_UCScolors!$C$12)</c:f>
              <c:numCache>
                <c:formatCode>General</c:formatCode>
                <c:ptCount val="2"/>
                <c:pt idx="0">
                  <c:v>0.44999999999999996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CD-6B43-88F7-1A93E4FB6811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(CIE_UCScolors!$B$9,CIE_UCScolors!$B$13)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(CIE_UCScolors!$C$9,CIE_UCScolors!$C$13)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CD-6B43-88F7-1A93E4FB6811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(CIE_UCScolors!$B$9,CIE_UCScolors!$B$12)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0.3</c:v>
                </c:pt>
              </c:numCache>
            </c:numRef>
          </c:xVal>
          <c:yVal>
            <c:numRef>
              <c:f>(CIE_UCScolors!$C$9,CIE_UCScolors!$C$12)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CD-6B43-88F7-1A93E4FB6811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(CIE_UCScolors!$B$10,CIE_UCScolors!$B$14)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(CIE_UCScolors!$C$10,CIE_UCScolors!$C$14)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CD-6B43-88F7-1A93E4FB6811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(CIE_UCScolors!$B$9,CIE_UCScolors!$B$14)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(CIE_UCScolors!$C$9,CIE_UCScolors!$C$14)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CD-6B43-88F7-1A93E4FB6811}"/>
            </c:ext>
          </c:extLst>
        </c:ser>
        <c:ser>
          <c:idx val="10"/>
          <c:order val="1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(CIE_UCScolors!$B$10,CIE_UCScolors!$B$13)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(CIE_UCScolors!$C$10,CIE_UCScolors!$C$13)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CD-6B43-88F7-1A93E4FB6811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(CIE_UCScolors!$B$10,CIE_UCScolors!$B$12)</c:f>
              <c:numCache>
                <c:formatCode>General</c:formatCode>
                <c:ptCount val="2"/>
                <c:pt idx="0">
                  <c:v>0.24999999999999994</c:v>
                </c:pt>
                <c:pt idx="1">
                  <c:v>0.3</c:v>
                </c:pt>
              </c:numCache>
            </c:numRef>
          </c:xVal>
          <c:yVal>
            <c:numRef>
              <c:f>(CIE_UCScolors!$C$10,CIE_UCScolors!$C$12)</c:f>
              <c:numCache>
                <c:formatCode>General</c:formatCode>
                <c:ptCount val="2"/>
                <c:pt idx="0">
                  <c:v>0.41999999999999993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CD-6B43-88F7-1A93E4FB6811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(CIE_UCScolors!$B$12,CIE_UCScolors!$B$13)</c:f>
              <c:numCache>
                <c:formatCode>General</c:formatCode>
                <c:ptCount val="2"/>
                <c:pt idx="0">
                  <c:v>0.3</c:v>
                </c:pt>
                <c:pt idx="1">
                  <c:v>0.1999999999999999</c:v>
                </c:pt>
              </c:numCache>
            </c:numRef>
          </c:xVal>
          <c:yVal>
            <c:numRef>
              <c:f>(CIE_UCScolors!$C$12,CIE_UCScolors!$C$13)</c:f>
              <c:numCache>
                <c:formatCode>General</c:formatCode>
                <c:ptCount val="2"/>
                <c:pt idx="0">
                  <c:v>0.5</c:v>
                </c:pt>
                <c:pt idx="1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CD-6B43-88F7-1A93E4FB6811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(CIE_UCScolors!$B$9,CIE_UCScolors!$B$10)</c:f>
              <c:numCache>
                <c:formatCode>General</c:formatCode>
                <c:ptCount val="2"/>
                <c:pt idx="0">
                  <c:v>0.25000000000000033</c:v>
                </c:pt>
                <c:pt idx="1">
                  <c:v>0.24999999999999994</c:v>
                </c:pt>
              </c:numCache>
            </c:numRef>
          </c:xVal>
          <c:yVal>
            <c:numRef>
              <c:f>(CIE_UCScolors!$C$9,CIE_UCScolors!$C$10)</c:f>
              <c:numCache>
                <c:formatCode>General</c:formatCode>
                <c:ptCount val="2"/>
                <c:pt idx="0">
                  <c:v>0.53000000000000014</c:v>
                </c:pt>
                <c:pt idx="1">
                  <c:v>0.41999999999999993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CD-6B43-88F7-1A93E4FB6811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(CIE_UCScolors!$B$13,CIE_UCScolors!$B$14)</c:f>
              <c:numCache>
                <c:formatCode>General</c:formatCode>
                <c:ptCount val="2"/>
                <c:pt idx="0">
                  <c:v>0.1999999999999999</c:v>
                </c:pt>
                <c:pt idx="1">
                  <c:v>0.30000000000000016</c:v>
                </c:pt>
              </c:numCache>
            </c:numRef>
          </c:xVal>
          <c:yVal>
            <c:numRef>
              <c:f>(CIE_UCScolors!$C$13,CIE_UCScolors!$C$14)</c:f>
              <c:numCache>
                <c:formatCode>General</c:formatCode>
                <c:ptCount val="2"/>
                <c:pt idx="0">
                  <c:v>0.49999999999999989</c:v>
                </c:pt>
                <c:pt idx="1">
                  <c:v>0.44999999999999996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CD-6B43-88F7-1A93E4FB6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u'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v'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(CIE_UCScolors!$B$4,CIE_UCScolors!$B$5)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0.22800000000000017</c:v>
                </c:pt>
              </c:numCache>
            </c:numRef>
          </c:xVal>
          <c:yVal>
            <c:numRef>
              <c:f>(CIE_UCScolors!$C$4,CIE_UCScolors!$C$5)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3-F84E-BC5B-6BD767EFB6B2}"/>
            </c:ext>
          </c:extLst>
        </c:ser>
        <c:ser>
          <c:idx val="1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(CIE_UCScolors!$B$5,CIE_UCScolors!$B$7)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(CIE_UCScolors!$C$5,CIE_UCScolors!$C$7)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43-F84E-BC5B-6BD767EFB6B2}"/>
            </c:ext>
          </c:extLst>
        </c:ser>
        <c:ser>
          <c:idx val="2"/>
          <c:order val="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(CIE_UCScolors!$B$6,CIE_UCScolors!$B$8)</c:f>
              <c:numCache>
                <c:formatCode>General</c:formatCode>
                <c:ptCount val="2"/>
                <c:pt idx="0">
                  <c:v>0.27500000000000024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(CIE_UCScolors!$C$6,CIE_UCScolors!$C$8)</c:f>
              <c:numCache>
                <c:formatCode>General</c:formatCode>
                <c:ptCount val="2"/>
                <c:pt idx="0">
                  <c:v>0.4850000000000001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43-F84E-BC5B-6BD767EFB6B2}"/>
            </c:ext>
          </c:extLst>
        </c:ser>
        <c:ser>
          <c:idx val="3"/>
          <c:order val="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(CIE_UCScolors!$B$4,CIE_UCScolors!$B$8)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(CIE_UCScolors!$C$4,CIE_UCScolors!$C$8)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43-F84E-BC5B-6BD767EFB6B2}"/>
            </c:ext>
          </c:extLst>
        </c:ser>
        <c:ser>
          <c:idx val="4"/>
          <c:order val="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(CIE_UCScolors!$B$3,CIE_UCScolors!$B$7)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(CIE_UCScolors!$C$3,CIE_UCScolors!$C$7)</c:f>
              <c:numCache>
                <c:formatCode>General</c:formatCode>
                <c:ptCount val="2"/>
                <c:pt idx="0">
                  <c:v>0.5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43-F84E-BC5B-6BD767EFB6B2}"/>
            </c:ext>
          </c:extLst>
        </c:ser>
        <c:ser>
          <c:idx val="5"/>
          <c:order val="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(CIE_UCScolors!$B$3,CIE_UCScolors!$B$6)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(CIE_UCScolors!$C$3,CIE_UCScolors!$C$6)</c:f>
              <c:numCache>
                <c:formatCode>General</c:formatCode>
                <c:ptCount val="2"/>
                <c:pt idx="0">
                  <c:v>0.5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543-F84E-BC5B-6BD767EFB6B2}"/>
            </c:ext>
          </c:extLst>
        </c:ser>
        <c:ser>
          <c:idx val="6"/>
          <c:order val="6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(CIE_UCScolors!$B$4,CIE_UCScolors!$B$7)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(CIE_UCScolors!$C$4,CIE_UCScolors!$C$7)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543-F84E-BC5B-6BD767EFB6B2}"/>
            </c:ext>
          </c:extLst>
        </c:ser>
        <c:ser>
          <c:idx val="7"/>
          <c:order val="7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(CIE_UCScolors!$B$4,CIE_UCScolors!$B$6)</c:f>
              <c:numCache>
                <c:formatCode>General</c:formatCode>
                <c:ptCount val="2"/>
                <c:pt idx="0">
                  <c:v>0.24999999999999992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(CIE_UCScolors!$C$4,CIE_UCScolors!$C$6)</c:f>
              <c:numCache>
                <c:formatCode>General</c:formatCode>
                <c:ptCount val="2"/>
                <c:pt idx="0">
                  <c:v>0.44900000000000001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43-F84E-BC5B-6BD767EFB6B2}"/>
            </c:ext>
          </c:extLst>
        </c:ser>
        <c:ser>
          <c:idx val="8"/>
          <c:order val="8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(CIE_UCScolors!$B$5,CIE_UCScolors!$B$8)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(CIE_UCScolors!$C$5,CIE_UCScolors!$C$8)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43-F84E-BC5B-6BD767EFB6B2}"/>
            </c:ext>
          </c:extLst>
        </c:ser>
        <c:ser>
          <c:idx val="9"/>
          <c:order val="9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(CIE_UCScolors!$B$3,CIE_UCScolors!$B$5)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0.22800000000000017</c:v>
                </c:pt>
              </c:numCache>
            </c:numRef>
          </c:xVal>
          <c:yVal>
            <c:numRef>
              <c:f>(CIE_UCScolors!$C$3,CIE_UCScolors!$C$5)</c:f>
              <c:numCache>
                <c:formatCode>General</c:formatCode>
                <c:ptCount val="2"/>
                <c:pt idx="0">
                  <c:v>0.5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43-F84E-BC5B-6BD767EFB6B2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(CIE_UCScolors!$B$3,CIE_UCScolors!$B$4)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0.24999999999999992</c:v>
                </c:pt>
              </c:numCache>
            </c:numRef>
          </c:xVal>
          <c:yVal>
            <c:numRef>
              <c:f>(CIE_UCScolors!$C$3,CIE_UCScolors!$C$4)</c:f>
              <c:numCache>
                <c:formatCode>General</c:formatCode>
                <c:ptCount val="2"/>
                <c:pt idx="0">
                  <c:v>0.5</c:v>
                </c:pt>
                <c:pt idx="1">
                  <c:v>0.44900000000000001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543-F84E-BC5B-6BD767EFB6B2}"/>
            </c:ext>
          </c:extLst>
        </c:ser>
        <c:ser>
          <c:idx val="11"/>
          <c:order val="1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(CIE_UCScolors!$B$6,CIE_UCScolors!$B$7)</c:f>
              <c:numCache>
                <c:formatCode>General</c:formatCode>
                <c:ptCount val="2"/>
                <c:pt idx="0">
                  <c:v>0.27500000000000024</c:v>
                </c:pt>
                <c:pt idx="1">
                  <c:v>0.22800000000000009</c:v>
                </c:pt>
              </c:numCache>
            </c:numRef>
          </c:xVal>
          <c:yVal>
            <c:numRef>
              <c:f>(CIE_UCScolors!$C$6,CIE_UCScolors!$C$7)</c:f>
              <c:numCache>
                <c:formatCode>General</c:formatCode>
                <c:ptCount val="2"/>
                <c:pt idx="0">
                  <c:v>0.4850000000000001</c:v>
                </c:pt>
                <c:pt idx="1">
                  <c:v>0.48500000000000004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543-F84E-BC5B-6BD767EFB6B2}"/>
            </c:ext>
          </c:extLst>
        </c:ser>
        <c:ser>
          <c:idx val="12"/>
          <c:order val="12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(CIE_UCScolors!$B$3,CIE_UCScolors!$B$4)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0.24999999999999992</c:v>
                </c:pt>
              </c:numCache>
            </c:numRef>
          </c:xVal>
          <c:yVal>
            <c:numRef>
              <c:f>(CIE_UCScolors!$C$3,CIE_UCScolors!$C$4)</c:f>
              <c:numCache>
                <c:formatCode>General</c:formatCode>
                <c:ptCount val="2"/>
                <c:pt idx="0">
                  <c:v>0.5</c:v>
                </c:pt>
                <c:pt idx="1">
                  <c:v>0.44900000000000001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543-F84E-BC5B-6BD767EFB6B2}"/>
            </c:ext>
          </c:extLst>
        </c:ser>
        <c:ser>
          <c:idx val="13"/>
          <c:order val="13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(CIE_UCScolors!$B$7,CIE_UCScolors!$B$8)</c:f>
              <c:numCache>
                <c:formatCode>General</c:formatCode>
                <c:ptCount val="2"/>
                <c:pt idx="0">
                  <c:v>0.22800000000000009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(CIE_UCScolors!$C$7,CIE_UCScolors!$C$8)</c:f>
              <c:numCache>
                <c:formatCode>General</c:formatCode>
                <c:ptCount val="2"/>
                <c:pt idx="0">
                  <c:v>0.48500000000000004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543-F84E-BC5B-6BD767EFB6B2}"/>
            </c:ext>
          </c:extLst>
        </c:ser>
        <c:ser>
          <c:idx val="14"/>
          <c:order val="14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(CIE_UCScolors!$B$5,CIE_UCScolors!$B$6)</c:f>
              <c:numCache>
                <c:formatCode>General</c:formatCode>
                <c:ptCount val="2"/>
                <c:pt idx="0">
                  <c:v>0.22800000000000017</c:v>
                </c:pt>
                <c:pt idx="1">
                  <c:v>0.27500000000000024</c:v>
                </c:pt>
              </c:numCache>
            </c:numRef>
          </c:xVal>
          <c:yVal>
            <c:numRef>
              <c:f>(CIE_UCScolors!$C$5,CIE_UCScolors!$C$6)</c:f>
              <c:numCache>
                <c:formatCode>General</c:formatCode>
                <c:ptCount val="2"/>
                <c:pt idx="0">
                  <c:v>0.45999999999999996</c:v>
                </c:pt>
                <c:pt idx="1">
                  <c:v>0.4850000000000001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543-F84E-BC5B-6BD767EFB6B2}"/>
            </c:ext>
          </c:extLst>
        </c:ser>
        <c:ser>
          <c:idx val="15"/>
          <c:order val="15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(CIE_UCScolors!$B$3,CIE_UCScolors!$B$8)</c:f>
              <c:numCache>
                <c:formatCode>General</c:formatCode>
                <c:ptCount val="2"/>
                <c:pt idx="0">
                  <c:v>0.25000000000000017</c:v>
                </c:pt>
                <c:pt idx="1">
                  <c:v>0.27300000000000002</c:v>
                </c:pt>
              </c:numCache>
            </c:numRef>
          </c:xVal>
          <c:yVal>
            <c:numRef>
              <c:f>(CIE_UCScolors!$C$3,CIE_UCScolors!$C$8)</c:f>
              <c:numCache>
                <c:formatCode>General</c:formatCode>
                <c:ptCount val="2"/>
                <c:pt idx="0">
                  <c:v>0.5</c:v>
                </c:pt>
                <c:pt idx="1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543-F84E-BC5B-6BD767EFB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593839"/>
        <c:axId val="919275567"/>
      </c:scatterChart>
      <c:valAx>
        <c:axId val="888593839"/>
        <c:scaling>
          <c:orientation val="minMax"/>
          <c:max val="0.6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u'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75567"/>
        <c:crosses val="autoZero"/>
        <c:crossBetween val="midCat"/>
      </c:valAx>
      <c:valAx>
        <c:axId val="919275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v'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593839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504584</xdr:colOff>
      <xdr:row>0</xdr:row>
      <xdr:rowOff>0</xdr:rowOff>
    </xdr:from>
    <xdr:to>
      <xdr:col>14</xdr:col>
      <xdr:colOff>423901</xdr:colOff>
      <xdr:row>29</xdr:row>
      <xdr:rowOff>108803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962BD-1527-D844-9D57-FBF1D515C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35004</xdr:colOff>
      <xdr:row>30</xdr:row>
      <xdr:rowOff>157522</xdr:rowOff>
    </xdr:from>
    <xdr:to>
      <xdr:col>15</xdr:col>
      <xdr:colOff>776087</xdr:colOff>
      <xdr:row>60</xdr:row>
      <xdr:rowOff>63552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B6F969-A786-6D4B-9394-A87ACCDFC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181428</xdr:colOff>
      <xdr:row>22</xdr:row>
      <xdr:rowOff>164922</xdr:rowOff>
    </xdr:from>
    <xdr:to>
      <xdr:col>9</xdr:col>
      <xdr:colOff>100746</xdr:colOff>
      <xdr:row>52</xdr:row>
      <xdr:rowOff>70525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4BCD88-ACCD-4440-B2B7-BFBA05E59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12700</xdr:rowOff>
    </xdr:from>
    <xdr:to>
      <xdr:col>4</xdr:col>
      <xdr:colOff>284480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71C98-F346-7546-8293-9005C8986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704593</xdr:colOff>
      <xdr:row>1</xdr:row>
      <xdr:rowOff>83275</xdr:rowOff>
    </xdr:from>
    <xdr:to>
      <xdr:col>8</xdr:col>
      <xdr:colOff>785873</xdr:colOff>
      <xdr:row>14</xdr:row>
      <xdr:rowOff>184875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6F37A4-C5DC-9146-9E37-4A02F9947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63500</xdr:colOff>
      <xdr:row>0</xdr:row>
      <xdr:rowOff>0</xdr:rowOff>
    </xdr:from>
    <xdr:to>
      <xdr:col>13</xdr:col>
      <xdr:colOff>144780</xdr:colOff>
      <xdr:row>13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D82EC4-440A-814D-A2B3-A7A10C8C4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12700</xdr:rowOff>
    </xdr:from>
    <xdr:to>
      <xdr:col>5</xdr:col>
      <xdr:colOff>81280</xdr:colOff>
      <xdr:row>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D16F48-0471-0D4E-A678-9B53F3114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501393</xdr:colOff>
      <xdr:row>20</xdr:row>
      <xdr:rowOff>83275</xdr:rowOff>
    </xdr:from>
    <xdr:to>
      <xdr:col>9</xdr:col>
      <xdr:colOff>582673</xdr:colOff>
      <xdr:row>33</xdr:row>
      <xdr:rowOff>184875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06C631-584F-4745-A6CB-D9E22B6F9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685800</xdr:colOff>
      <xdr:row>19</xdr:row>
      <xdr:rowOff>0</xdr:rowOff>
    </xdr:from>
    <xdr:to>
      <xdr:col>13</xdr:col>
      <xdr:colOff>767080</xdr:colOff>
      <xdr:row>32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05DC94-2BBC-5446-9611-E377BE035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59A2-22E1-9D4F-A24A-73CFE17903E8}">
  <dimension ref="A1:E20"/>
  <sheetViews>
    <sheetView tabSelected="1" zoomScale="119" zoomScaleNormal="75" workbookViewId="0">
      <selection sqref="A1:D1048576"/>
    </sheetView>
  </sheetViews>
  <sheetFormatPr baseColWidth="10" defaultRowHeight="16" x14ac:dyDescent="0.2"/>
  <sheetData>
    <row r="1" spans="1:5" x14ac:dyDescent="0.2">
      <c r="B1" t="s">
        <v>7</v>
      </c>
      <c r="C1" t="s">
        <v>6</v>
      </c>
      <c r="D1" t="s">
        <v>11</v>
      </c>
    </row>
    <row r="2" spans="1:5" x14ac:dyDescent="0.2">
      <c r="A2" t="s">
        <v>12</v>
      </c>
      <c r="B2">
        <v>0.25000000000000011</v>
      </c>
      <c r="C2">
        <v>0.47399999999999998</v>
      </c>
    </row>
    <row r="3" spans="1:5" x14ac:dyDescent="0.2">
      <c r="A3" t="s">
        <v>14</v>
      </c>
      <c r="B3">
        <v>0.25000000000000017</v>
      </c>
      <c r="C3">
        <v>0.5</v>
      </c>
      <c r="D3">
        <f>SQRT((B$2-B3)^2+(C$2-C3)^2)</f>
        <v>2.6000000000000023E-2</v>
      </c>
      <c r="E3">
        <f>AVERAGE(D3:D8)</f>
        <v>2.5985396996079369E-2</v>
      </c>
    </row>
    <row r="4" spans="1:5" x14ac:dyDescent="0.2">
      <c r="A4" t="s">
        <v>14</v>
      </c>
      <c r="B4">
        <v>0.24999999999999992</v>
      </c>
      <c r="C4">
        <v>0.44900000000000001</v>
      </c>
      <c r="D4">
        <f>SQRT((B$2-B4)^2+(C$2-C4)^2)</f>
        <v>2.4999999999999967E-2</v>
      </c>
    </row>
    <row r="5" spans="1:5" x14ac:dyDescent="0.2">
      <c r="A5" t="s">
        <v>14</v>
      </c>
      <c r="B5">
        <v>0.22800000000000017</v>
      </c>
      <c r="C5">
        <v>0.45999999999999996</v>
      </c>
      <c r="D5">
        <f>SQRT((B$2-B5)^2+(C$2-C5)^2)</f>
        <v>2.6076809620810548E-2</v>
      </c>
    </row>
    <row r="6" spans="1:5" x14ac:dyDescent="0.2">
      <c r="A6" t="s">
        <v>14</v>
      </c>
      <c r="B6">
        <v>0.27500000000000024</v>
      </c>
      <c r="C6">
        <v>0.4850000000000001</v>
      </c>
      <c r="D6">
        <f>SQRT((B$2-B6)^2+(C$2-C6)^2)</f>
        <v>2.7313000567495496E-2</v>
      </c>
    </row>
    <row r="7" spans="1:5" x14ac:dyDescent="0.2">
      <c r="A7" t="s">
        <v>14</v>
      </c>
      <c r="B7">
        <v>0.22800000000000009</v>
      </c>
      <c r="C7">
        <v>0.48500000000000004</v>
      </c>
      <c r="D7">
        <f>SQRT((B$2-B7)^2+(C$2-C7)^2)</f>
        <v>2.4596747752497733E-2</v>
      </c>
    </row>
    <row r="8" spans="1:5" x14ac:dyDescent="0.2">
      <c r="A8" t="s">
        <v>14</v>
      </c>
      <c r="B8">
        <v>0.27300000000000002</v>
      </c>
      <c r="C8">
        <v>0.45999999999999996</v>
      </c>
      <c r="D8">
        <f>SQRT((B$2-B8)^2+(C$2-C8)^2)</f>
        <v>2.6925824035672449E-2</v>
      </c>
    </row>
    <row r="9" spans="1:5" x14ac:dyDescent="0.2">
      <c r="A9" t="s">
        <v>13</v>
      </c>
      <c r="B9">
        <v>0.25000000000000033</v>
      </c>
      <c r="C9">
        <v>0.53000000000000014</v>
      </c>
      <c r="D9">
        <f>SQRT((B$2-B9)^2+(C$2-C9)^2)</f>
        <v>5.6000000000000161E-2</v>
      </c>
      <c r="E9">
        <f>AVERAGE(D9:D14)</f>
        <v>5.5605903236623289E-2</v>
      </c>
    </row>
    <row r="10" spans="1:5" x14ac:dyDescent="0.2">
      <c r="A10" t="s">
        <v>13</v>
      </c>
      <c r="B10">
        <v>0.24999999999999994</v>
      </c>
      <c r="C10">
        <v>0.41999999999999993</v>
      </c>
      <c r="D10">
        <f>SQRT((B$2-B10)^2+(C$2-C10)^2)</f>
        <v>5.4000000000000048E-2</v>
      </c>
    </row>
    <row r="11" spans="1:5" x14ac:dyDescent="0.2">
      <c r="A11" t="s">
        <v>13</v>
      </c>
      <c r="B11">
        <v>0.19999999999999998</v>
      </c>
      <c r="C11">
        <v>0.44999999999999996</v>
      </c>
      <c r="D11">
        <f>SQRT((B$2-B11)^2+(C$2-C11)^2)</f>
        <v>5.5461698495448311E-2</v>
      </c>
    </row>
    <row r="12" spans="1:5" x14ac:dyDescent="0.2">
      <c r="A12" t="s">
        <v>13</v>
      </c>
      <c r="B12">
        <v>0.3</v>
      </c>
      <c r="C12">
        <v>0.5</v>
      </c>
      <c r="D12">
        <f>SQRT((B$2-B12)^2+(C$2-C12)^2)</f>
        <v>5.6356011214421388E-2</v>
      </c>
    </row>
    <row r="13" spans="1:5" x14ac:dyDescent="0.2">
      <c r="A13" t="s">
        <v>13</v>
      </c>
      <c r="B13">
        <v>0.1999999999999999</v>
      </c>
      <c r="C13">
        <v>0.49999999999999989</v>
      </c>
      <c r="D13">
        <f>SQRT((B$2-B13)^2+(C$2-C13)^2)</f>
        <v>5.6356011214421631E-2</v>
      </c>
    </row>
    <row r="14" spans="1:5" x14ac:dyDescent="0.2">
      <c r="A14" t="s">
        <v>13</v>
      </c>
      <c r="B14">
        <v>0.30000000000000016</v>
      </c>
      <c r="C14">
        <v>0.44999999999999996</v>
      </c>
      <c r="D14">
        <f>SQRT((B$2-B14)^2+(C$2-C14)^2)</f>
        <v>5.5461698495448242E-2</v>
      </c>
    </row>
    <row r="15" spans="1:5" x14ac:dyDescent="0.2">
      <c r="A15" t="s">
        <v>3</v>
      </c>
      <c r="B15">
        <v>0.30000000000000004</v>
      </c>
      <c r="C15">
        <v>0.55000000000000004</v>
      </c>
      <c r="D15">
        <f>SQRT((B$2-B15)^2+(C$2-C15)^2)</f>
        <v>9.0972523324353294E-2</v>
      </c>
      <c r="E15">
        <f>AVERAGE(D15:D20)</f>
        <v>9.0093659190472672E-2</v>
      </c>
    </row>
    <row r="16" spans="1:5" x14ac:dyDescent="0.2">
      <c r="A16" t="s">
        <v>3</v>
      </c>
      <c r="B16">
        <v>0.20000000000000023</v>
      </c>
      <c r="C16">
        <v>0.55000000000000004</v>
      </c>
      <c r="D16">
        <f>SQRT((B$2-B16)^2+(C$2-C16)^2)</f>
        <v>9.0972523324353266E-2</v>
      </c>
    </row>
    <row r="17" spans="1:4" x14ac:dyDescent="0.2">
      <c r="A17" t="s">
        <v>3</v>
      </c>
      <c r="B17">
        <v>0.16000000000000006</v>
      </c>
      <c r="C17">
        <v>0.47400000000000009</v>
      </c>
      <c r="D17">
        <f>SQRT((B$2-B17)^2+(C$2-C17)^2)</f>
        <v>9.0000000000000052E-2</v>
      </c>
    </row>
    <row r="18" spans="1:4" x14ac:dyDescent="0.2">
      <c r="A18" t="s">
        <v>3</v>
      </c>
      <c r="B18">
        <v>0.34000000000000019</v>
      </c>
      <c r="C18">
        <v>0.47400000000000003</v>
      </c>
      <c r="D18">
        <f>SQRT((B$2-B18)^2+(C$2-C18)^2)</f>
        <v>9.000000000000008E-2</v>
      </c>
    </row>
    <row r="19" spans="1:4" x14ac:dyDescent="0.2">
      <c r="A19" t="s">
        <v>3</v>
      </c>
      <c r="B19">
        <v>0.30000000000000016</v>
      </c>
      <c r="C19">
        <v>0.39999999999999997</v>
      </c>
      <c r="D19">
        <f>SQRT((B$2-B19)^2+(C$2-C19)^2)</f>
        <v>8.9308454247064462E-2</v>
      </c>
    </row>
    <row r="20" spans="1:4" x14ac:dyDescent="0.2">
      <c r="A20" t="s">
        <v>3</v>
      </c>
      <c r="B20">
        <v>0.19999999999999996</v>
      </c>
      <c r="C20">
        <v>0.39999999999999958</v>
      </c>
      <c r="D20">
        <f>SQRT((B$2-B20)^2+(C$2-C20)^2)</f>
        <v>8.930845424706485E-2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0A5F-32B4-5A42-926A-69BBC4058816}">
  <dimension ref="A1"/>
  <sheetViews>
    <sheetView zoomScaleNormal="100" workbookViewId="0">
      <selection activeCell="D43" sqref="D4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031E-B86F-A049-8B57-1FFE17C43193}">
  <dimension ref="A1:C55"/>
  <sheetViews>
    <sheetView workbookViewId="0">
      <selection sqref="A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2.4597000000000001E-2</v>
      </c>
      <c r="C2" t="s">
        <v>14</v>
      </c>
    </row>
    <row r="3" spans="1:3" x14ac:dyDescent="0.2">
      <c r="A3">
        <v>2</v>
      </c>
      <c r="B3">
        <v>2.5000000000000001E-2</v>
      </c>
      <c r="C3" t="s">
        <v>14</v>
      </c>
    </row>
    <row r="4" spans="1:3" x14ac:dyDescent="0.2">
      <c r="A4">
        <v>3</v>
      </c>
      <c r="B4">
        <v>2.5080000000000002E-2</v>
      </c>
      <c r="C4" t="s">
        <v>14</v>
      </c>
    </row>
    <row r="5" spans="1:3" x14ac:dyDescent="0.2">
      <c r="A5">
        <v>4</v>
      </c>
      <c r="B5">
        <v>2.5495E-2</v>
      </c>
      <c r="C5" t="s">
        <v>14</v>
      </c>
    </row>
    <row r="6" spans="1:3" x14ac:dyDescent="0.2">
      <c r="A6">
        <v>5</v>
      </c>
      <c r="B6">
        <v>2.6627000000000001E-2</v>
      </c>
      <c r="C6" t="s">
        <v>14</v>
      </c>
    </row>
    <row r="7" spans="1:3" x14ac:dyDescent="0.2">
      <c r="A7">
        <v>6</v>
      </c>
      <c r="B7">
        <v>2.9155E-2</v>
      </c>
      <c r="C7" t="s">
        <v>14</v>
      </c>
    </row>
    <row r="8" spans="1:3" x14ac:dyDescent="0.2">
      <c r="A8">
        <v>7</v>
      </c>
      <c r="B8">
        <v>4.2189999999999998E-2</v>
      </c>
      <c r="C8" t="s">
        <v>14</v>
      </c>
    </row>
    <row r="9" spans="1:3" x14ac:dyDescent="0.2">
      <c r="A9">
        <v>8</v>
      </c>
      <c r="B9">
        <v>4.3829E-2</v>
      </c>
      <c r="C9" t="s">
        <v>14</v>
      </c>
    </row>
    <row r="10" spans="1:3" x14ac:dyDescent="0.2">
      <c r="A10">
        <v>9</v>
      </c>
      <c r="B10">
        <v>4.4999999999999998E-2</v>
      </c>
      <c r="C10" t="s">
        <v>14</v>
      </c>
    </row>
    <row r="11" spans="1:3" x14ac:dyDescent="0.2">
      <c r="A11">
        <v>10</v>
      </c>
      <c r="B11">
        <v>4.5650999999999997E-2</v>
      </c>
      <c r="C11" t="s">
        <v>14</v>
      </c>
    </row>
    <row r="12" spans="1:3" x14ac:dyDescent="0.2">
      <c r="A12">
        <v>11</v>
      </c>
      <c r="B12">
        <v>4.6141000000000001E-2</v>
      </c>
      <c r="C12" t="s">
        <v>14</v>
      </c>
    </row>
    <row r="13" spans="1:3" x14ac:dyDescent="0.2">
      <c r="A13">
        <v>12</v>
      </c>
      <c r="B13">
        <v>4.7E-2</v>
      </c>
      <c r="C13" t="s">
        <v>14</v>
      </c>
    </row>
    <row r="14" spans="1:3" x14ac:dyDescent="0.2">
      <c r="A14">
        <v>13</v>
      </c>
      <c r="B14">
        <v>5.0999999999999997E-2</v>
      </c>
      <c r="C14" t="s">
        <v>14</v>
      </c>
    </row>
    <row r="15" spans="1:3" x14ac:dyDescent="0.2">
      <c r="A15">
        <v>14</v>
      </c>
      <c r="B15">
        <v>5.1478000000000003E-2</v>
      </c>
      <c r="C15" t="s">
        <v>14</v>
      </c>
    </row>
    <row r="16" spans="1:3" x14ac:dyDescent="0.2">
      <c r="A16">
        <v>15</v>
      </c>
      <c r="B16">
        <v>5.3234999999999998E-2</v>
      </c>
      <c r="C16" t="s">
        <v>14</v>
      </c>
    </row>
    <row r="17" spans="1:3" x14ac:dyDescent="0.2">
      <c r="A17">
        <v>1</v>
      </c>
      <c r="B17">
        <v>0.05</v>
      </c>
      <c r="C17" t="s">
        <v>4</v>
      </c>
    </row>
    <row r="18" spans="1:3" x14ac:dyDescent="0.2">
      <c r="A18">
        <v>2</v>
      </c>
      <c r="B18">
        <v>5.3999999999999999E-2</v>
      </c>
      <c r="C18" t="s">
        <v>4</v>
      </c>
    </row>
    <row r="19" spans="1:3" x14ac:dyDescent="0.2">
      <c r="A19">
        <v>3</v>
      </c>
      <c r="B19">
        <v>5.5461999999999997E-2</v>
      </c>
      <c r="C19" t="s">
        <v>4</v>
      </c>
    </row>
    <row r="20" spans="1:3" x14ac:dyDescent="0.2">
      <c r="A20">
        <v>4</v>
      </c>
      <c r="B20">
        <v>5.6000000000000001E-2</v>
      </c>
      <c r="C20" t="s">
        <v>4</v>
      </c>
    </row>
    <row r="21" spans="1:3" x14ac:dyDescent="0.2">
      <c r="A21">
        <v>5</v>
      </c>
      <c r="B21">
        <v>5.6356000000000003E-2</v>
      </c>
      <c r="C21" t="s">
        <v>4</v>
      </c>
    </row>
    <row r="22" spans="1:3" x14ac:dyDescent="0.2">
      <c r="A22">
        <v>6</v>
      </c>
      <c r="B22">
        <v>5.6356000000000003E-2</v>
      </c>
      <c r="C22" t="s">
        <v>4</v>
      </c>
    </row>
    <row r="23" spans="1:3" x14ac:dyDescent="0.2">
      <c r="A23">
        <v>7</v>
      </c>
      <c r="B23">
        <v>5.8310000000000001E-2</v>
      </c>
      <c r="C23" t="s">
        <v>4</v>
      </c>
    </row>
    <row r="24" spans="1:3" x14ac:dyDescent="0.2">
      <c r="A24">
        <v>8</v>
      </c>
      <c r="B24">
        <v>5.8310000000000001E-2</v>
      </c>
      <c r="C24" t="s">
        <v>4</v>
      </c>
    </row>
    <row r="25" spans="1:3" x14ac:dyDescent="0.2">
      <c r="A25">
        <v>9</v>
      </c>
      <c r="B25">
        <v>5.8310000000000001E-2</v>
      </c>
      <c r="C25" t="s">
        <v>4</v>
      </c>
    </row>
    <row r="26" spans="1:3" x14ac:dyDescent="0.2">
      <c r="A26">
        <v>10</v>
      </c>
      <c r="B26">
        <v>9.4339999999999993E-2</v>
      </c>
      <c r="C26" t="s">
        <v>4</v>
      </c>
    </row>
    <row r="27" spans="1:3" x14ac:dyDescent="0.2">
      <c r="A27">
        <v>11</v>
      </c>
      <c r="B27">
        <v>9.4339999999999993E-2</v>
      </c>
      <c r="C27" t="s">
        <v>4</v>
      </c>
    </row>
    <row r="28" spans="1:3" x14ac:dyDescent="0.2">
      <c r="A28">
        <v>12</v>
      </c>
      <c r="B28">
        <v>9.4339999999999993E-2</v>
      </c>
      <c r="C28" t="s">
        <v>4</v>
      </c>
    </row>
    <row r="29" spans="1:3" x14ac:dyDescent="0.2">
      <c r="A29">
        <v>13</v>
      </c>
      <c r="B29">
        <v>0.1</v>
      </c>
      <c r="C29" t="s">
        <v>4</v>
      </c>
    </row>
    <row r="30" spans="1:3" x14ac:dyDescent="0.2">
      <c r="A30">
        <v>14</v>
      </c>
      <c r="B30">
        <v>0.11</v>
      </c>
      <c r="C30" t="s">
        <v>4</v>
      </c>
    </row>
    <row r="31" spans="1:3" x14ac:dyDescent="0.2">
      <c r="A31">
        <v>15</v>
      </c>
      <c r="B31">
        <v>0.111803</v>
      </c>
      <c r="C31" t="s">
        <v>4</v>
      </c>
    </row>
    <row r="32" spans="1:3" x14ac:dyDescent="0.2">
      <c r="A32">
        <v>1</v>
      </c>
      <c r="B32">
        <v>8.4118999999999999E-2</v>
      </c>
      <c r="C32" t="s">
        <v>3</v>
      </c>
    </row>
    <row r="33" spans="1:3" x14ac:dyDescent="0.2">
      <c r="A33">
        <v>2</v>
      </c>
      <c r="B33">
        <v>8.5884000000000002E-2</v>
      </c>
      <c r="C33" t="s">
        <v>3</v>
      </c>
    </row>
    <row r="34" spans="1:3" x14ac:dyDescent="0.2">
      <c r="A34">
        <v>3</v>
      </c>
      <c r="B34">
        <v>8.5884000000000002E-2</v>
      </c>
      <c r="C34" t="s">
        <v>3</v>
      </c>
    </row>
    <row r="35" spans="1:3" x14ac:dyDescent="0.2">
      <c r="A35">
        <v>4</v>
      </c>
      <c r="B35">
        <v>8.4118999999999999E-2</v>
      </c>
      <c r="C35" t="s">
        <v>3</v>
      </c>
    </row>
    <row r="36" spans="1:3" x14ac:dyDescent="0.2">
      <c r="A36">
        <v>5</v>
      </c>
      <c r="B36">
        <v>0.1</v>
      </c>
      <c r="C36" t="s">
        <v>3</v>
      </c>
    </row>
    <row r="37" spans="1:3" x14ac:dyDescent="0.2">
      <c r="A37">
        <v>6</v>
      </c>
      <c r="B37">
        <v>0.1</v>
      </c>
      <c r="C37" t="s">
        <v>3</v>
      </c>
    </row>
    <row r="38" spans="1:3" x14ac:dyDescent="0.2">
      <c r="A38">
        <v>7</v>
      </c>
      <c r="B38">
        <v>0.15</v>
      </c>
      <c r="C38" t="s">
        <v>3</v>
      </c>
    </row>
    <row r="39" spans="1:3" x14ac:dyDescent="0.2">
      <c r="A39">
        <v>8</v>
      </c>
      <c r="B39">
        <v>0.15</v>
      </c>
      <c r="C39" t="s">
        <v>3</v>
      </c>
    </row>
    <row r="40" spans="1:3" x14ac:dyDescent="0.2">
      <c r="A40">
        <v>9</v>
      </c>
      <c r="B40">
        <v>0.15835399999999999</v>
      </c>
      <c r="C40" t="s">
        <v>3</v>
      </c>
    </row>
    <row r="41" spans="1:3" x14ac:dyDescent="0.2">
      <c r="A41">
        <v>10</v>
      </c>
      <c r="B41">
        <v>0.15835399999999999</v>
      </c>
      <c r="C41" t="s">
        <v>3</v>
      </c>
    </row>
    <row r="42" spans="1:3" x14ac:dyDescent="0.2">
      <c r="A42">
        <v>11</v>
      </c>
      <c r="B42">
        <v>0.159298</v>
      </c>
      <c r="C42" t="s">
        <v>3</v>
      </c>
    </row>
    <row r="43" spans="1:3" x14ac:dyDescent="0.2">
      <c r="A43">
        <v>12</v>
      </c>
      <c r="B43">
        <v>0.159298</v>
      </c>
      <c r="C43" t="s">
        <v>3</v>
      </c>
    </row>
    <row r="44" spans="1:3" x14ac:dyDescent="0.2">
      <c r="A44">
        <v>13</v>
      </c>
      <c r="B44">
        <v>0.18</v>
      </c>
      <c r="C44" t="s">
        <v>3</v>
      </c>
    </row>
    <row r="45" spans="1:3" x14ac:dyDescent="0.2">
      <c r="A45">
        <v>14</v>
      </c>
      <c r="B45">
        <v>0.18027799999999999</v>
      </c>
      <c r="C45" t="s">
        <v>3</v>
      </c>
    </row>
    <row r="46" spans="1:3" x14ac:dyDescent="0.2">
      <c r="A46">
        <v>15</v>
      </c>
      <c r="B46">
        <v>0.18027799999999999</v>
      </c>
      <c r="C46" t="s">
        <v>3</v>
      </c>
    </row>
    <row r="48" spans="1:3" x14ac:dyDescent="0.2">
      <c r="B48" t="s">
        <v>8</v>
      </c>
    </row>
    <row r="49" spans="2:2" x14ac:dyDescent="0.2">
      <c r="B49">
        <f xml:space="preserve"> AVERAGE(B2:B16)</f>
        <v>3.8765200000000007E-2</v>
      </c>
    </row>
    <row r="51" spans="2:2" x14ac:dyDescent="0.2">
      <c r="B51" t="s">
        <v>9</v>
      </c>
    </row>
    <row r="52" spans="2:2" x14ac:dyDescent="0.2">
      <c r="B52">
        <f>AVERAGE(B17:B31)</f>
        <v>7.3861799999999991E-2</v>
      </c>
    </row>
    <row r="54" spans="2:2" x14ac:dyDescent="0.2">
      <c r="B54" t="s">
        <v>10</v>
      </c>
    </row>
    <row r="55" spans="2:2" x14ac:dyDescent="0.2">
      <c r="B55">
        <f>AVERAGE(B32:B46)</f>
        <v>0.13439106666666667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3FEB-51DD-2945-BA15-AB45F8667233}">
  <dimension ref="A1:N75"/>
  <sheetViews>
    <sheetView topLeftCell="A20" workbookViewId="0">
      <selection activeCell="F27" sqref="F27"/>
    </sheetView>
  </sheetViews>
  <sheetFormatPr baseColWidth="10" defaultRowHeight="16" x14ac:dyDescent="0.2"/>
  <cols>
    <col min="1" max="1" width="13.5" bestFit="1" customWidth="1"/>
  </cols>
  <sheetData>
    <row r="1" spans="1:14" x14ac:dyDescent="0.2">
      <c r="B1" t="s">
        <v>15</v>
      </c>
      <c r="C1" s="1" t="s">
        <v>6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5</v>
      </c>
    </row>
    <row r="2" spans="1:14" x14ac:dyDescent="0.2">
      <c r="A2" t="s">
        <v>12</v>
      </c>
      <c r="B2">
        <v>0.25000000000000011</v>
      </c>
      <c r="C2">
        <v>0.47399999999999998</v>
      </c>
      <c r="D2">
        <f>9*B2/(6*B2-16*C2+12)</f>
        <v>0.38032454361054774</v>
      </c>
      <c r="E2">
        <f>4*C2/(6*B2-16*C2+12)</f>
        <v>0.32048681541582141</v>
      </c>
      <c r="F2">
        <f>(D2*1.0271-E2*0.00008-0.00009)/(D2*0.03845+E2*0.01496+1)</f>
        <v>0.38307712298662733</v>
      </c>
      <c r="G2">
        <f>(D2*0.00376+E2*1.0072+0.00764)/(D2*0.03845+E2*0.01496+1)</f>
        <v>0.32554296011750961</v>
      </c>
      <c r="H2">
        <f>(0.15514*F2+0.54312*G2-(0.03286*(1-F2-G2)))/((0.15514*F2+0.54312*G2-(0.03286*(1-F2-G2)))+(0.45684*G2-0.15514*F2+(0.03286*(1-F2-G2))))</f>
        <v>0.69629458477663753</v>
      </c>
      <c r="I2">
        <f>(0.01608*(1-F2-G2))/((0.15514*F2+0.54312*G2-(0.03286*(1-F2-G2)))+(0.45684*G2-0.15514*F2+(0.03286*(1-F2-G2))))</f>
        <v>1.439311261731361E-2</v>
      </c>
    </row>
    <row r="4" spans="1:14" x14ac:dyDescent="0.2">
      <c r="A4" t="s">
        <v>14</v>
      </c>
      <c r="B4">
        <v>0.25000000000000017</v>
      </c>
      <c r="C4">
        <v>0.5</v>
      </c>
      <c r="D4">
        <f t="shared" ref="D4:D9" si="0">9*B4/(6*B4-16*C4+12)</f>
        <v>0.40909090909090928</v>
      </c>
      <c r="E4">
        <f t="shared" ref="E4:E9" si="1">4*C4/(6*B4-16*C4+12)</f>
        <v>0.36363636363636359</v>
      </c>
      <c r="F4">
        <f t="shared" ref="F4:F9" si="2">(D4*1.0271-E4*0.00008-0.00009)/(D4*0.03845+E4*0.01496+1)</f>
        <v>0.41135008744429863</v>
      </c>
      <c r="G4">
        <f t="shared" ref="G4:G9" si="3">(D4*0.00376+E4*1.0072+0.00764)/(D4*0.03845+E4*0.01496+1)</f>
        <v>0.36764974919577503</v>
      </c>
      <c r="H4">
        <f t="shared" ref="H4:H9" si="4">(0.15514*F4+0.54312*G4-(0.03286*(1-F4-G4)))/((0.15514*F4+0.54312*G4-(0.03286*(1-F4-G4)))+(0.45684*G4-0.15514*F4+(0.03286*(1-F4-G4))))</f>
        <v>0.69697577452611892</v>
      </c>
      <c r="I4">
        <f t="shared" ref="I4:I9" si="5">(0.01608*(1-F4-G4))/((0.15514*F4+0.54312*G4-(0.03286*(1-F4-G4)))+(0.45684*G4-0.15514*F4+(0.03286*(1-F4-G4))))</f>
        <v>9.6663326646970801E-3</v>
      </c>
      <c r="J4">
        <f>SQRT((H$4-H5)^2+(I$4-I5)^2)</f>
        <v>9.8579245487319476E-3</v>
      </c>
    </row>
    <row r="5" spans="1:14" x14ac:dyDescent="0.2">
      <c r="B5">
        <v>0.24999999999999992</v>
      </c>
      <c r="C5">
        <v>0.44900000000000001</v>
      </c>
      <c r="D5">
        <f t="shared" si="0"/>
        <v>0.35623812539582006</v>
      </c>
      <c r="E5">
        <f t="shared" si="1"/>
        <v>0.28435718809373028</v>
      </c>
      <c r="F5">
        <f t="shared" si="2"/>
        <v>0.35932899328440132</v>
      </c>
      <c r="G5">
        <f t="shared" si="3"/>
        <v>0.29017498553274346</v>
      </c>
      <c r="H5">
        <f t="shared" si="4"/>
        <v>0.6955696474337788</v>
      </c>
      <c r="I5">
        <f t="shared" si="5"/>
        <v>1.9423457395306969E-2</v>
      </c>
      <c r="J5">
        <f t="shared" ref="J5:J7" si="6">SQRT((H$4-H6)^2+(I$4-I6)^2)</f>
        <v>2.0277225115941946E-2</v>
      </c>
      <c r="K5">
        <f>SQRT((H$5-H6)^2+(I$5-I6)^2)</f>
        <v>1.7290034048230447E-2</v>
      </c>
    </row>
    <row r="6" spans="1:14" x14ac:dyDescent="0.2">
      <c r="B6">
        <v>0.22800000000000017</v>
      </c>
      <c r="C6">
        <v>0.45999999999999996</v>
      </c>
      <c r="D6">
        <f t="shared" si="0"/>
        <v>0.34154460719041291</v>
      </c>
      <c r="E6">
        <f t="shared" si="1"/>
        <v>0.30625832223701721</v>
      </c>
      <c r="F6">
        <f t="shared" si="2"/>
        <v>0.34458203417890859</v>
      </c>
      <c r="G6">
        <f t="shared" si="3"/>
        <v>0.31186323988100395</v>
      </c>
      <c r="H6">
        <f t="shared" si="4"/>
        <v>0.67836425251005028</v>
      </c>
      <c r="I6">
        <f t="shared" si="5"/>
        <v>1.7714755283321136E-2</v>
      </c>
      <c r="J6">
        <f t="shared" si="6"/>
        <v>1.8647260748401392E-2</v>
      </c>
      <c r="K6">
        <f t="shared" ref="K6:K8" si="7">SQRT((H$5-H7)^2+(I$5-I7)^2)</f>
        <v>2.1373145929924176E-2</v>
      </c>
      <c r="L6">
        <f>SQRT((H$6-H7)^2+(I$6-I7)^2)</f>
        <v>3.7624163963898012E-2</v>
      </c>
    </row>
    <row r="7" spans="1:14" x14ac:dyDescent="0.2">
      <c r="B7">
        <v>0.27500000000000024</v>
      </c>
      <c r="C7">
        <v>0.4850000000000001</v>
      </c>
      <c r="D7">
        <f t="shared" si="0"/>
        <v>0.42020373514431281</v>
      </c>
      <c r="E7">
        <f t="shared" si="1"/>
        <v>0.32937181663837023</v>
      </c>
      <c r="F7">
        <f t="shared" si="2"/>
        <v>0.42256543722046286</v>
      </c>
      <c r="G7">
        <f t="shared" si="3"/>
        <v>0.3339227536214523</v>
      </c>
      <c r="H7">
        <f t="shared" si="4"/>
        <v>0.71550885414253007</v>
      </c>
      <c r="I7">
        <f t="shared" si="5"/>
        <v>1.1726743631139642E-2</v>
      </c>
      <c r="J7">
        <f t="shared" si="6"/>
        <v>1.7361563083723143E-2</v>
      </c>
      <c r="K7">
        <f t="shared" si="7"/>
        <v>1.6972855081028679E-2</v>
      </c>
      <c r="L7">
        <f t="shared" ref="L7:L8" si="8">SQRT((H$6-H8)^2+(I$6-I8)^2)</f>
        <v>5.0851001413741298E-3</v>
      </c>
      <c r="M7">
        <f>SQRT((H$7-H8)^2+(I$7-I8)^2)</f>
        <v>3.5614685241462295E-2</v>
      </c>
    </row>
    <row r="8" spans="1:14" x14ac:dyDescent="0.2">
      <c r="B8">
        <v>0.22800000000000009</v>
      </c>
      <c r="C8">
        <v>0.48500000000000004</v>
      </c>
      <c r="D8">
        <f t="shared" si="0"/>
        <v>0.3659058487874467</v>
      </c>
      <c r="E8">
        <f t="shared" si="1"/>
        <v>0.34593437945791733</v>
      </c>
      <c r="F8">
        <f t="shared" si="2"/>
        <v>0.36861058526028134</v>
      </c>
      <c r="G8">
        <f t="shared" si="3"/>
        <v>0.35069210359036063</v>
      </c>
      <c r="H8">
        <f t="shared" si="4"/>
        <v>0.67991255865870848</v>
      </c>
      <c r="I8">
        <f t="shared" si="5"/>
        <v>1.2871100514674797E-2</v>
      </c>
      <c r="J8">
        <f>SQRT((H$4-H9)^2+(I$4-I9)^2)</f>
        <v>1.8544552997351606E-2</v>
      </c>
      <c r="K8">
        <f t="shared" si="7"/>
        <v>1.884396391372543E-2</v>
      </c>
      <c r="L8">
        <f t="shared" si="8"/>
        <v>3.5848389981779034E-2</v>
      </c>
      <c r="M8">
        <f>SQRT((H$7-H9)^2+(I$7-I9)^2)</f>
        <v>5.0030696749769846E-3</v>
      </c>
      <c r="N8">
        <f>SQRT((H$8-H9)^2+(I$8-I9)^2)</f>
        <v>3.4478535446356852E-2</v>
      </c>
    </row>
    <row r="9" spans="1:14" x14ac:dyDescent="0.2">
      <c r="B9">
        <v>0.27300000000000002</v>
      </c>
      <c r="C9">
        <v>0.45999999999999996</v>
      </c>
      <c r="D9">
        <f t="shared" si="0"/>
        <v>0.3913666772857598</v>
      </c>
      <c r="E9">
        <f t="shared" si="1"/>
        <v>0.29308697037273013</v>
      </c>
      <c r="F9">
        <f t="shared" si="2"/>
        <v>0.39419894510749109</v>
      </c>
      <c r="G9">
        <f t="shared" si="3"/>
        <v>0.29850794095163818</v>
      </c>
      <c r="H9">
        <f t="shared" si="4"/>
        <v>0.71419384198359082</v>
      </c>
      <c r="I9">
        <f t="shared" si="5"/>
        <v>1.6553901096410091E-2</v>
      </c>
    </row>
    <row r="11" spans="1:14" x14ac:dyDescent="0.2">
      <c r="A11" t="s">
        <v>13</v>
      </c>
      <c r="B11">
        <v>0.25000000000000033</v>
      </c>
      <c r="C11">
        <v>0.53000000000000014</v>
      </c>
      <c r="D11">
        <f t="shared" ref="D11:D23" si="9">9*B11/(6*B11-16*C11+12)</f>
        <v>0.44820717131474169</v>
      </c>
      <c r="E11">
        <f t="shared" ref="E11:E23" si="10">4*C11/(6*B11-16*C11+12)</f>
        <v>0.42231075697211168</v>
      </c>
      <c r="F11">
        <f t="shared" ref="F11:F23" si="11">(D11*1.0271-E11*0.00008-0.00009)/(D11*0.03845+E11*0.01496+1)</f>
        <v>0.44964017456836403</v>
      </c>
      <c r="G11">
        <f t="shared" ref="G11:G23" si="12">(D11*0.00376+E11*1.0072+0.00764)/(D11*0.03845+E11*0.01496+1)</f>
        <v>0.42467499056143443</v>
      </c>
      <c r="H11">
        <f t="shared" ref="H11:H23" si="13">(0.15514*F11+0.54312*G11-(0.03286*(1-F11-G11)))/((0.15514*F11+0.54312*G11-(0.03286*(1-F11-G11)))+(0.45684*G11-0.15514*F11+(0.03286*(1-F11-G11))))</f>
        <v>0.69768296228355964</v>
      </c>
      <c r="I11">
        <f t="shared" ref="I11:I23" si="14">(0.01608*(1-F11-G11))/((0.15514*F11+0.54312*G11-(0.03286*(1-F11-G11)))+(0.45684*G11-0.15514*F11+(0.03286*(1-F11-G11))))</f>
        <v>4.7591523714651199E-3</v>
      </c>
      <c r="J11">
        <f>SQRT((H$11-H12)^2+(I$11-I12)^2)</f>
        <v>2.1421000635940806E-2</v>
      </c>
    </row>
    <row r="12" spans="1:14" x14ac:dyDescent="0.2">
      <c r="B12">
        <v>0.24999999999999994</v>
      </c>
      <c r="C12">
        <v>0.41999999999999993</v>
      </c>
      <c r="D12">
        <f t="shared" si="9"/>
        <v>0.33185840707964592</v>
      </c>
      <c r="E12">
        <f t="shared" si="10"/>
        <v>0.24778761061946894</v>
      </c>
      <c r="F12">
        <f t="shared" si="11"/>
        <v>0.33522189541588843</v>
      </c>
      <c r="G12">
        <f t="shared" si="12"/>
        <v>0.2542724013959336</v>
      </c>
      <c r="H12">
        <f t="shared" si="13"/>
        <v>0.6946274865401284</v>
      </c>
      <c r="I12">
        <f t="shared" si="14"/>
        <v>2.5961117757397619E-2</v>
      </c>
      <c r="J12">
        <f>SQRT((H$11-H13)^2+(I$11-I13)^2)</f>
        <v>4.5628892834714684E-2</v>
      </c>
      <c r="K12">
        <f>SQRT((H$12-H13)^2+(I$12-I13)^2)</f>
        <v>4.0127399925912521E-2</v>
      </c>
    </row>
    <row r="13" spans="1:14" x14ac:dyDescent="0.2">
      <c r="B13">
        <v>0.19999999999999998</v>
      </c>
      <c r="C13">
        <v>0.44999999999999996</v>
      </c>
      <c r="D13">
        <f t="shared" si="9"/>
        <v>0.29999999999999993</v>
      </c>
      <c r="E13">
        <f t="shared" si="10"/>
        <v>0.29999999999999993</v>
      </c>
      <c r="F13">
        <f t="shared" si="11"/>
        <v>0.30315849149084217</v>
      </c>
      <c r="G13">
        <f t="shared" si="12"/>
        <v>0.30602456834146474</v>
      </c>
      <c r="H13">
        <f t="shared" si="13"/>
        <v>0.65486847867626419</v>
      </c>
      <c r="I13">
        <f t="shared" si="14"/>
        <v>2.0536219740355507E-2</v>
      </c>
      <c r="J13">
        <f>SQRT((H$11-H14)^2+(I$11-I14)^2)</f>
        <v>3.6212090453611942E-2</v>
      </c>
      <c r="K13">
        <f>SQRT((H$12-H14)^2+(I$12-I14)^2)</f>
        <v>4.2802480221307226E-2</v>
      </c>
      <c r="L13">
        <f>SQRT((H$13-H14)^2+(I$13-I14)^2)</f>
        <v>7.9748730621704095E-2</v>
      </c>
    </row>
    <row r="14" spans="1:14" x14ac:dyDescent="0.2">
      <c r="B14">
        <v>0.3</v>
      </c>
      <c r="C14">
        <v>0.5</v>
      </c>
      <c r="D14">
        <f t="shared" si="9"/>
        <v>0.46551724137931033</v>
      </c>
      <c r="E14">
        <f t="shared" si="10"/>
        <v>0.34482758620689657</v>
      </c>
      <c r="F14">
        <f t="shared" si="11"/>
        <v>0.46724162774373973</v>
      </c>
      <c r="G14">
        <f t="shared" si="12"/>
        <v>0.34866134062272752</v>
      </c>
      <c r="H14">
        <f t="shared" si="13"/>
        <v>0.7337022713086182</v>
      </c>
      <c r="I14">
        <f t="shared" si="14"/>
        <v>8.4907569027502829E-3</v>
      </c>
      <c r="J14">
        <f>SQRT((H$11-H15)^2+(I$11-I15)^2)</f>
        <v>3.8065560825522808E-2</v>
      </c>
      <c r="K14">
        <f>SQRT((H$12-H15)^2+(I$12-I15)^2)</f>
        <v>3.7684181536638148E-2</v>
      </c>
      <c r="L14">
        <f>SQRT((H$13-H15)^2+(I$13-I15)^2)</f>
        <v>1.1015291111364971E-2</v>
      </c>
      <c r="M14">
        <f>SQRT((H$14-H15)^2+(I$14-I15)^2)</f>
        <v>7.363268047627089E-2</v>
      </c>
    </row>
    <row r="15" spans="1:14" x14ac:dyDescent="0.2">
      <c r="B15">
        <v>0.1999999999999999</v>
      </c>
      <c r="C15">
        <v>0.49999999999999989</v>
      </c>
      <c r="D15">
        <f t="shared" si="9"/>
        <v>0.34615384615384592</v>
      </c>
      <c r="E15">
        <f t="shared" si="10"/>
        <v>0.38461538461538447</v>
      </c>
      <c r="F15">
        <f t="shared" si="11"/>
        <v>0.34876517466074597</v>
      </c>
      <c r="G15">
        <f t="shared" si="12"/>
        <v>0.38891214218182973</v>
      </c>
      <c r="H15">
        <f t="shared" si="13"/>
        <v>0.66010728284122588</v>
      </c>
      <c r="I15">
        <f t="shared" si="14"/>
        <v>1.0846453531137862E-2</v>
      </c>
      <c r="J15">
        <f>SQRT((H$11-H16)^2+(I$11-I16)^2)</f>
        <v>4.0655665262603558E-2</v>
      </c>
      <c r="K15">
        <f>SQRT((H$12-H16)^2+(I$12-I16)^2)</f>
        <v>4.2307296153079731E-2</v>
      </c>
      <c r="L15">
        <f>SQRT((H$13-H16)^2+(I$13-I16)^2)</f>
        <v>8.1332951294278741E-2</v>
      </c>
      <c r="M15">
        <f>SQRT((H$14-H16)^2+(I$14-I16)^2)</f>
        <v>9.7184708213890539E-3</v>
      </c>
      <c r="N15">
        <f>SQRT((H$15-H16)^2+(I$15-I16)^2)</f>
        <v>7.6377026808436554E-2</v>
      </c>
    </row>
    <row r="16" spans="1:14" x14ac:dyDescent="0.2">
      <c r="B16">
        <v>0.30000000000000016</v>
      </c>
      <c r="C16">
        <v>0.44999999999999996</v>
      </c>
      <c r="D16">
        <f t="shared" si="9"/>
        <v>0.40909090909090923</v>
      </c>
      <c r="E16">
        <f t="shared" si="10"/>
        <v>0.27272727272727265</v>
      </c>
      <c r="F16">
        <f t="shared" si="11"/>
        <v>0.41190578811284295</v>
      </c>
      <c r="G16">
        <f t="shared" si="12"/>
        <v>0.2783550047892186</v>
      </c>
      <c r="H16">
        <f t="shared" si="13"/>
        <v>0.73615849125792265</v>
      </c>
      <c r="I16">
        <f t="shared" si="14"/>
        <v>1.7893717004060363E-2</v>
      </c>
    </row>
    <row r="18" spans="1:14" x14ac:dyDescent="0.2">
      <c r="A18" t="s">
        <v>3</v>
      </c>
      <c r="B18">
        <v>0.30000000000000004</v>
      </c>
      <c r="C18">
        <v>0.55000000000000004</v>
      </c>
      <c r="D18">
        <f t="shared" si="9"/>
        <v>0.54</v>
      </c>
      <c r="E18">
        <f t="shared" si="10"/>
        <v>0.44000000000000006</v>
      </c>
      <c r="F18">
        <f t="shared" si="11"/>
        <v>0.53974914376411276</v>
      </c>
      <c r="G18">
        <f t="shared" si="12"/>
        <v>0.44078495898263631</v>
      </c>
      <c r="H18">
        <f t="shared" si="13"/>
        <v>0.73166983920968853</v>
      </c>
      <c r="I18">
        <f t="shared" si="14"/>
        <v>7.1015161116365973E-4</v>
      </c>
      <c r="J18">
        <f>SQRT((H$18-H19)^2+(I$18-I19)^2)</f>
        <v>6.7264381661105682E-2</v>
      </c>
    </row>
    <row r="19" spans="1:14" x14ac:dyDescent="0.2">
      <c r="B19">
        <v>0.20000000000000023</v>
      </c>
      <c r="C19">
        <v>0.55000000000000004</v>
      </c>
      <c r="D19">
        <f t="shared" si="9"/>
        <v>0.4090909090909095</v>
      </c>
      <c r="E19">
        <f t="shared" si="10"/>
        <v>0.5</v>
      </c>
      <c r="F19">
        <f t="shared" si="11"/>
        <v>0.41051930622937399</v>
      </c>
      <c r="G19">
        <f t="shared" si="12"/>
        <v>0.50114679255693195</v>
      </c>
      <c r="H19">
        <f t="shared" si="13"/>
        <v>0.6644390093933854</v>
      </c>
      <c r="I19">
        <f t="shared" si="14"/>
        <v>2.834430891808687E-3</v>
      </c>
      <c r="J19">
        <f>SQRT((H$18-H20)^2+(I$18-I20)^2)</f>
        <v>0.10649445102621122</v>
      </c>
      <c r="K19">
        <f>SQRT((H$19-H20)^2+(I$19-I20)^2)</f>
        <v>4.0493311471428192E-2</v>
      </c>
    </row>
    <row r="20" spans="1:14" x14ac:dyDescent="0.2">
      <c r="B20">
        <v>0.16000000000000006</v>
      </c>
      <c r="C20">
        <v>0.47400000000000009</v>
      </c>
      <c r="D20">
        <f t="shared" si="9"/>
        <v>0.26785714285714302</v>
      </c>
      <c r="E20">
        <f t="shared" si="10"/>
        <v>0.35267857142857151</v>
      </c>
      <c r="F20">
        <f t="shared" si="11"/>
        <v>0.27078040399696102</v>
      </c>
      <c r="G20">
        <f t="shared" si="12"/>
        <v>0.35828465255702219</v>
      </c>
      <c r="H20">
        <f t="shared" si="13"/>
        <v>0.6263748261306924</v>
      </c>
      <c r="I20">
        <f t="shared" si="14"/>
        <v>1.6648417516466299E-2</v>
      </c>
      <c r="J20">
        <f>SQRT((H$18-H21)^2+(I$18-I21)^2)</f>
        <v>3.5908045944486884E-2</v>
      </c>
      <c r="K20">
        <f>SQRT((H$19-H21)^2+(I$19-I21)^2)</f>
        <v>0.10169437115991432</v>
      </c>
      <c r="L20">
        <f>SQRT((H$20-H21)^2+(I$20-I21)^2)</f>
        <v>0.13940305988091309</v>
      </c>
    </row>
    <row r="21" spans="1:14" x14ac:dyDescent="0.2">
      <c r="B21">
        <v>0.34000000000000019</v>
      </c>
      <c r="C21">
        <v>0.47400000000000003</v>
      </c>
      <c r="D21">
        <f t="shared" si="9"/>
        <v>0.47397769516728649</v>
      </c>
      <c r="E21">
        <f t="shared" si="10"/>
        <v>0.29368029739776952</v>
      </c>
      <c r="F21">
        <f t="shared" si="11"/>
        <v>0.47594413950651454</v>
      </c>
      <c r="G21">
        <f t="shared" si="12"/>
        <v>0.29846627150161992</v>
      </c>
      <c r="H21">
        <f t="shared" si="13"/>
        <v>0.76570542335199332</v>
      </c>
      <c r="I21">
        <f t="shared" si="14"/>
        <v>1.2154223248630459E-2</v>
      </c>
      <c r="J21">
        <f>SQRT((H$18-H22)^2+(I$18-I22)^2)</f>
        <v>2.97409020213476E-2</v>
      </c>
      <c r="K21">
        <f>SQRT((H$19-H22)^2+(I$19-I22)^2)</f>
        <v>7.9356560442648244E-2</v>
      </c>
      <c r="L21">
        <f>SQRT((H$20-H22)^2+(I$20-I22)^2)</f>
        <v>0.11353968007404638</v>
      </c>
      <c r="M21">
        <f>SQRT((H$21-H22)^2+(I$21-I22)^2)</f>
        <v>3.1680092990707648E-2</v>
      </c>
    </row>
    <row r="22" spans="1:14" x14ac:dyDescent="0.2">
      <c r="B22">
        <v>0.30000000000000016</v>
      </c>
      <c r="C22">
        <v>0.39999999999999997</v>
      </c>
      <c r="D22">
        <f t="shared" si="9"/>
        <v>0.36486486486486502</v>
      </c>
      <c r="E22">
        <f t="shared" si="10"/>
        <v>0.21621621621621617</v>
      </c>
      <c r="F22">
        <f t="shared" si="11"/>
        <v>0.36828742077148957</v>
      </c>
      <c r="G22">
        <f t="shared" si="12"/>
        <v>0.22293617310136851</v>
      </c>
      <c r="H22">
        <f t="shared" si="13"/>
        <v>0.73918647409985716</v>
      </c>
      <c r="I22">
        <f t="shared" si="14"/>
        <v>2.9485513519770429E-2</v>
      </c>
      <c r="J22">
        <f>SQRT((H$18-H23)^2+(I$18-I23)^2)</f>
        <v>8.9124901170591964E-2</v>
      </c>
      <c r="K22">
        <f>SQRT((H$19-H23)^2+(I$19-I23)^2)</f>
        <v>3.3715010482482134E-2</v>
      </c>
      <c r="L22">
        <f>SQRT((H$20-H23)^2+(I$20-I23)^2)</f>
        <v>2.7135408759425137E-2</v>
      </c>
      <c r="M22">
        <f>SQRT((H$21-H23)^2+(I$21-I23)^2)</f>
        <v>0.1190511605959932</v>
      </c>
      <c r="N22">
        <f>SQRT((H$22-H23)^2+(I$22-I23)^2)</f>
        <v>9.0831896313215491E-2</v>
      </c>
    </row>
    <row r="23" spans="1:14" x14ac:dyDescent="0.2">
      <c r="B23">
        <v>0.19999999999999996</v>
      </c>
      <c r="C23">
        <v>0.39999999999999958</v>
      </c>
      <c r="D23">
        <f t="shared" si="9"/>
        <v>0.2647058823529409</v>
      </c>
      <c r="E23">
        <f t="shared" si="10"/>
        <v>0.23529411764705838</v>
      </c>
      <c r="F23">
        <f t="shared" si="11"/>
        <v>0.26809819493160281</v>
      </c>
      <c r="G23">
        <f t="shared" si="12"/>
        <v>0.24230445721010366</v>
      </c>
      <c r="H23">
        <f t="shared" si="13"/>
        <v>0.64840435941894026</v>
      </c>
      <c r="I23">
        <f t="shared" si="14"/>
        <v>3.2492346058436747E-2</v>
      </c>
    </row>
    <row r="25" spans="1:14" x14ac:dyDescent="0.2">
      <c r="A25" s="2" t="s">
        <v>23</v>
      </c>
      <c r="B25" s="2" t="s">
        <v>22</v>
      </c>
      <c r="C25" s="2" t="s">
        <v>5</v>
      </c>
    </row>
    <row r="26" spans="1:14" x14ac:dyDescent="0.2">
      <c r="A26" t="s">
        <v>14</v>
      </c>
      <c r="B26">
        <v>1</v>
      </c>
      <c r="C26">
        <v>9.8579245487319476E-3</v>
      </c>
      <c r="K26" s="3"/>
      <c r="L26" s="3"/>
    </row>
    <row r="27" spans="1:14" x14ac:dyDescent="0.2">
      <c r="A27" t="s">
        <v>14</v>
      </c>
      <c r="B27">
        <v>2</v>
      </c>
      <c r="C27">
        <v>1.7290034048230447E-2</v>
      </c>
      <c r="K27" s="3"/>
      <c r="L27" s="3"/>
    </row>
    <row r="28" spans="1:14" x14ac:dyDescent="0.2">
      <c r="A28" t="s">
        <v>14</v>
      </c>
      <c r="B28">
        <v>3</v>
      </c>
      <c r="C28">
        <v>5.0851001413741298E-3</v>
      </c>
      <c r="K28" s="3"/>
      <c r="L28" s="3"/>
    </row>
    <row r="29" spans="1:14" x14ac:dyDescent="0.2">
      <c r="A29" t="s">
        <v>14</v>
      </c>
      <c r="B29">
        <v>4</v>
      </c>
      <c r="C29">
        <v>5.0030696749769846E-3</v>
      </c>
      <c r="K29" s="3"/>
      <c r="L29" s="3"/>
    </row>
    <row r="30" spans="1:14" x14ac:dyDescent="0.2">
      <c r="A30" t="s">
        <v>14</v>
      </c>
      <c r="B30">
        <v>5</v>
      </c>
      <c r="C30">
        <v>1.884396391372543E-2</v>
      </c>
      <c r="K30" s="3"/>
      <c r="L30" s="3"/>
    </row>
    <row r="31" spans="1:14" x14ac:dyDescent="0.2">
      <c r="A31" t="s">
        <v>14</v>
      </c>
      <c r="B31">
        <v>6</v>
      </c>
      <c r="C31">
        <v>1.7361563083723143E-2</v>
      </c>
      <c r="K31" s="3"/>
      <c r="L31" s="3"/>
    </row>
    <row r="32" spans="1:14" x14ac:dyDescent="0.2">
      <c r="A32" t="s">
        <v>14</v>
      </c>
      <c r="B32">
        <v>7</v>
      </c>
      <c r="C32">
        <v>1.8647260748401392E-2</v>
      </c>
      <c r="K32" s="3"/>
      <c r="L32" s="3"/>
    </row>
    <row r="33" spans="1:12" x14ac:dyDescent="0.2">
      <c r="A33" t="s">
        <v>14</v>
      </c>
      <c r="B33">
        <v>8</v>
      </c>
      <c r="C33">
        <v>1.6972855081028679E-2</v>
      </c>
      <c r="K33" s="3"/>
      <c r="L33" s="3"/>
    </row>
    <row r="34" spans="1:12" x14ac:dyDescent="0.2">
      <c r="A34" t="s">
        <v>14</v>
      </c>
      <c r="B34">
        <v>9</v>
      </c>
      <c r="C34">
        <v>2.1373145929924176E-2</v>
      </c>
      <c r="K34" s="3"/>
      <c r="L34" s="3"/>
    </row>
    <row r="35" spans="1:12" x14ac:dyDescent="0.2">
      <c r="A35" t="s">
        <v>14</v>
      </c>
      <c r="B35">
        <v>10</v>
      </c>
      <c r="C35">
        <v>3.5848389981779034E-2</v>
      </c>
      <c r="K35" s="3"/>
      <c r="L35" s="3"/>
    </row>
    <row r="36" spans="1:12" x14ac:dyDescent="0.2">
      <c r="A36" t="s">
        <v>14</v>
      </c>
      <c r="B36">
        <v>11</v>
      </c>
      <c r="C36">
        <v>2.0277225115941946E-2</v>
      </c>
      <c r="K36" s="3"/>
      <c r="L36" s="3"/>
    </row>
    <row r="37" spans="1:12" x14ac:dyDescent="0.2">
      <c r="A37" t="s">
        <v>14</v>
      </c>
      <c r="B37">
        <v>12</v>
      </c>
      <c r="C37">
        <v>1.8544552997351606E-2</v>
      </c>
      <c r="K37" s="3"/>
      <c r="L37" s="3"/>
    </row>
    <row r="38" spans="1:12" x14ac:dyDescent="0.2">
      <c r="A38" t="s">
        <v>14</v>
      </c>
      <c r="B38">
        <v>13</v>
      </c>
      <c r="C38">
        <v>3.5614685241462295E-2</v>
      </c>
      <c r="K38" s="3"/>
      <c r="L38" s="3"/>
    </row>
    <row r="39" spans="1:12" x14ac:dyDescent="0.2">
      <c r="A39" t="s">
        <v>14</v>
      </c>
      <c r="B39">
        <v>14</v>
      </c>
      <c r="C39">
        <v>3.4478535446356852E-2</v>
      </c>
      <c r="K39" s="3"/>
      <c r="L39" s="3"/>
    </row>
    <row r="40" spans="1:12" x14ac:dyDescent="0.2">
      <c r="A40" s="2" t="s">
        <v>14</v>
      </c>
      <c r="B40" s="2">
        <v>15</v>
      </c>
      <c r="C40" s="2">
        <v>3.7624163963898012E-2</v>
      </c>
      <c r="K40" s="3"/>
      <c r="L40" s="3"/>
    </row>
    <row r="41" spans="1:12" x14ac:dyDescent="0.2">
      <c r="A41" t="s">
        <v>13</v>
      </c>
      <c r="B41">
        <v>1</v>
      </c>
      <c r="C41">
        <v>9.7184708213890539E-3</v>
      </c>
      <c r="K41" s="3"/>
      <c r="L41" s="3"/>
    </row>
    <row r="42" spans="1:12" x14ac:dyDescent="0.2">
      <c r="A42" t="s">
        <v>13</v>
      </c>
      <c r="B42">
        <v>2</v>
      </c>
      <c r="C42">
        <v>1.1015291111364971E-2</v>
      </c>
      <c r="K42" s="3"/>
      <c r="L42" s="3"/>
    </row>
    <row r="43" spans="1:12" x14ac:dyDescent="0.2">
      <c r="A43" t="s">
        <v>13</v>
      </c>
      <c r="B43">
        <v>3</v>
      </c>
      <c r="C43">
        <v>4.0127399925912521E-2</v>
      </c>
      <c r="K43" s="3"/>
      <c r="L43" s="3"/>
    </row>
    <row r="44" spans="1:12" x14ac:dyDescent="0.2">
      <c r="A44" t="s">
        <v>13</v>
      </c>
      <c r="B44">
        <v>4</v>
      </c>
      <c r="C44">
        <v>4.5628892834714684E-2</v>
      </c>
      <c r="K44" s="3"/>
      <c r="L44" s="3"/>
    </row>
    <row r="45" spans="1:12" x14ac:dyDescent="0.2">
      <c r="A45" t="s">
        <v>13</v>
      </c>
      <c r="B45">
        <v>5</v>
      </c>
      <c r="C45">
        <v>3.7684181536638148E-2</v>
      </c>
      <c r="K45" s="3"/>
      <c r="L45" s="3"/>
    </row>
    <row r="46" spans="1:12" x14ac:dyDescent="0.2">
      <c r="A46" t="s">
        <v>13</v>
      </c>
      <c r="B46">
        <v>6</v>
      </c>
      <c r="C46">
        <v>4.2802480221307226E-2</v>
      </c>
      <c r="K46" s="3"/>
      <c r="L46" s="3"/>
    </row>
    <row r="47" spans="1:12" x14ac:dyDescent="0.2">
      <c r="A47" t="s">
        <v>13</v>
      </c>
      <c r="B47">
        <v>7</v>
      </c>
      <c r="C47">
        <v>3.8065560825522808E-2</v>
      </c>
      <c r="K47" s="3"/>
      <c r="L47" s="3"/>
    </row>
    <row r="48" spans="1:12" x14ac:dyDescent="0.2">
      <c r="A48" t="s">
        <v>13</v>
      </c>
      <c r="B48">
        <v>8</v>
      </c>
      <c r="C48">
        <v>3.6212090453611942E-2</v>
      </c>
      <c r="K48" s="3"/>
      <c r="L48" s="3"/>
    </row>
    <row r="49" spans="1:12" x14ac:dyDescent="0.2">
      <c r="A49" t="s">
        <v>13</v>
      </c>
      <c r="B49">
        <v>9</v>
      </c>
      <c r="C49">
        <v>4.2307296153079731E-2</v>
      </c>
      <c r="K49" s="3"/>
      <c r="L49" s="3"/>
    </row>
    <row r="50" spans="1:12" x14ac:dyDescent="0.2">
      <c r="A50" t="s">
        <v>13</v>
      </c>
      <c r="B50">
        <v>10</v>
      </c>
      <c r="C50">
        <v>4.0655665262603558E-2</v>
      </c>
      <c r="K50" s="3"/>
      <c r="L50" s="3"/>
    </row>
    <row r="51" spans="1:12" x14ac:dyDescent="0.2">
      <c r="A51" t="s">
        <v>13</v>
      </c>
      <c r="B51">
        <v>11</v>
      </c>
      <c r="C51">
        <v>8.1332951294278741E-2</v>
      </c>
      <c r="K51" s="3"/>
      <c r="L51" s="3"/>
    </row>
    <row r="52" spans="1:12" x14ac:dyDescent="0.2">
      <c r="A52" t="s">
        <v>13</v>
      </c>
      <c r="B52">
        <v>12</v>
      </c>
      <c r="C52">
        <v>7.9748730621704095E-2</v>
      </c>
      <c r="K52" s="3"/>
      <c r="L52" s="3"/>
    </row>
    <row r="53" spans="1:12" x14ac:dyDescent="0.2">
      <c r="A53" t="s">
        <v>13</v>
      </c>
      <c r="B53">
        <v>13</v>
      </c>
      <c r="C53">
        <v>7.363268047627089E-2</v>
      </c>
      <c r="K53" s="3"/>
      <c r="L53" s="3"/>
    </row>
    <row r="54" spans="1:12" x14ac:dyDescent="0.2">
      <c r="A54" t="s">
        <v>13</v>
      </c>
      <c r="B54">
        <v>14</v>
      </c>
      <c r="C54">
        <v>2.1421000635940806E-2</v>
      </c>
      <c r="K54" s="3"/>
      <c r="L54" s="3"/>
    </row>
    <row r="55" spans="1:12" x14ac:dyDescent="0.2">
      <c r="A55" s="2" t="s">
        <v>13</v>
      </c>
      <c r="B55" s="2">
        <v>15</v>
      </c>
      <c r="C55" s="2">
        <v>7.6377026808436554E-2</v>
      </c>
      <c r="K55" s="3"/>
      <c r="L55" s="3"/>
    </row>
    <row r="56" spans="1:12" x14ac:dyDescent="0.2">
      <c r="A56" t="s">
        <v>3</v>
      </c>
      <c r="B56">
        <v>1</v>
      </c>
      <c r="C56">
        <v>2.7135408759425137E-2</v>
      </c>
      <c r="K56" s="3"/>
      <c r="L56" s="3"/>
    </row>
    <row r="57" spans="1:12" x14ac:dyDescent="0.2">
      <c r="A57" t="s">
        <v>3</v>
      </c>
      <c r="B57">
        <v>2</v>
      </c>
      <c r="C57">
        <v>4.0493311471428192E-2</v>
      </c>
      <c r="K57" s="3"/>
      <c r="L57" s="3"/>
    </row>
    <row r="58" spans="1:12" x14ac:dyDescent="0.2">
      <c r="A58" t="s">
        <v>3</v>
      </c>
      <c r="B58">
        <v>3</v>
      </c>
      <c r="C58">
        <v>3.5908045944486884E-2</v>
      </c>
      <c r="K58" s="3"/>
      <c r="L58" s="3"/>
    </row>
    <row r="59" spans="1:12" x14ac:dyDescent="0.2">
      <c r="A59" t="s">
        <v>3</v>
      </c>
      <c r="B59">
        <v>4</v>
      </c>
      <c r="C59">
        <v>3.1680092990707648E-2</v>
      </c>
      <c r="K59" s="3"/>
      <c r="L59" s="3"/>
    </row>
    <row r="60" spans="1:12" x14ac:dyDescent="0.2">
      <c r="A60" t="s">
        <v>3</v>
      </c>
      <c r="B60">
        <v>5</v>
      </c>
      <c r="C60">
        <v>9.0831896313215491E-2</v>
      </c>
      <c r="K60" s="3"/>
      <c r="L60" s="3"/>
    </row>
    <row r="61" spans="1:12" x14ac:dyDescent="0.2">
      <c r="A61" t="s">
        <v>3</v>
      </c>
      <c r="B61">
        <v>6</v>
      </c>
      <c r="C61">
        <v>6.7264381661105682E-2</v>
      </c>
      <c r="K61" s="3"/>
      <c r="L61" s="3"/>
    </row>
    <row r="62" spans="1:12" x14ac:dyDescent="0.2">
      <c r="A62" t="s">
        <v>3</v>
      </c>
      <c r="B62">
        <v>7</v>
      </c>
      <c r="C62">
        <v>3.3715010482482134E-2</v>
      </c>
      <c r="K62" s="3"/>
      <c r="L62" s="3"/>
    </row>
    <row r="63" spans="1:12" x14ac:dyDescent="0.2">
      <c r="A63" t="s">
        <v>3</v>
      </c>
      <c r="B63">
        <v>8</v>
      </c>
      <c r="C63">
        <v>2.97409020213476E-2</v>
      </c>
      <c r="K63" s="3"/>
      <c r="L63" s="3"/>
    </row>
    <row r="64" spans="1:12" x14ac:dyDescent="0.2">
      <c r="A64" t="s">
        <v>3</v>
      </c>
      <c r="B64">
        <v>9</v>
      </c>
      <c r="C64">
        <v>0.1190511605959932</v>
      </c>
      <c r="K64" s="3"/>
      <c r="L64" s="3"/>
    </row>
    <row r="65" spans="1:12" x14ac:dyDescent="0.2">
      <c r="A65" t="s">
        <v>3</v>
      </c>
      <c r="B65">
        <v>10</v>
      </c>
      <c r="C65">
        <v>0.11353968007404638</v>
      </c>
      <c r="K65" s="3"/>
      <c r="L65" s="3"/>
    </row>
    <row r="66" spans="1:12" x14ac:dyDescent="0.2">
      <c r="A66" t="s">
        <v>3</v>
      </c>
      <c r="B66">
        <v>11</v>
      </c>
      <c r="C66">
        <v>0.10169437115991432</v>
      </c>
      <c r="K66" s="3"/>
      <c r="L66" s="3"/>
    </row>
    <row r="67" spans="1:12" x14ac:dyDescent="0.2">
      <c r="A67" t="s">
        <v>3</v>
      </c>
      <c r="B67">
        <v>12</v>
      </c>
      <c r="C67">
        <v>0.10649445102621122</v>
      </c>
      <c r="K67" s="3"/>
      <c r="L67" s="3"/>
    </row>
    <row r="68" spans="1:12" x14ac:dyDescent="0.2">
      <c r="A68" t="s">
        <v>3</v>
      </c>
      <c r="B68">
        <v>13</v>
      </c>
      <c r="C68">
        <v>0.13940305988091309</v>
      </c>
      <c r="K68" s="3"/>
      <c r="L68" s="3"/>
    </row>
    <row r="69" spans="1:12" x14ac:dyDescent="0.2">
      <c r="A69" t="s">
        <v>3</v>
      </c>
      <c r="B69">
        <v>14</v>
      </c>
      <c r="C69">
        <v>7.9356560442648244E-2</v>
      </c>
      <c r="K69" s="3"/>
      <c r="L69" s="3"/>
    </row>
    <row r="70" spans="1:12" x14ac:dyDescent="0.2">
      <c r="A70" s="2" t="s">
        <v>3</v>
      </c>
      <c r="B70" s="2">
        <v>15</v>
      </c>
      <c r="C70" s="2">
        <v>8.9124901170591964E-2</v>
      </c>
      <c r="K70" s="3"/>
      <c r="L70" s="3"/>
    </row>
    <row r="71" spans="1:12" x14ac:dyDescent="0.2">
      <c r="K71" s="3"/>
      <c r="L71" s="3"/>
    </row>
    <row r="72" spans="1:12" x14ac:dyDescent="0.2">
      <c r="K72" s="3"/>
      <c r="L72" s="3"/>
    </row>
    <row r="73" spans="1:12" x14ac:dyDescent="0.2">
      <c r="K73" s="3"/>
      <c r="L73" s="3"/>
    </row>
    <row r="74" spans="1:12" x14ac:dyDescent="0.2">
      <c r="K74" s="3"/>
      <c r="L74" s="3"/>
    </row>
    <row r="75" spans="1:12" x14ac:dyDescent="0.2">
      <c r="K75" s="3"/>
      <c r="L7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CIE_UCScolors</vt:lpstr>
      <vt:lpstr>CIEgraphs</vt:lpstr>
      <vt:lpstr>CIE_UCScolorDiff</vt:lpstr>
      <vt:lpstr>MacLeodBoyntonConversion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Sarah Haigh</cp:lastModifiedBy>
  <dcterms:created xsi:type="dcterms:W3CDTF">2022-08-17T16:16:31Z</dcterms:created>
  <dcterms:modified xsi:type="dcterms:W3CDTF">2025-06-10T18:57:39Z</dcterms:modified>
</cp:coreProperties>
</file>